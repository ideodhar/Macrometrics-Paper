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brzdat" sheetId="2" r:id="rId5"/>
  </sheets>
  <definedNames/>
  <calcPr/>
  <extLst>
    <ext uri="GoogleSheetsCustomDataVersion2">
      <go:sheetsCustomData xmlns:go="http://customooxmlschemas.google.com/" r:id="rId6" roundtripDataChecksum="WANXCisUtJcf4Dns/ZORrH15RtHey1VEaHct3vx6Zb8="/>
    </ext>
  </extLst>
</workbook>
</file>

<file path=xl/sharedStrings.xml><?xml version="1.0" encoding="utf-8"?>
<sst xmlns="http://schemas.openxmlformats.org/spreadsheetml/2006/main" count="41" uniqueCount="29">
  <si>
    <t>Ben Zeev, Ramey, Zubairy data for "Do Government Spending Multipliers Depend on the Sign of the Shock?"</t>
  </si>
  <si>
    <t xml:space="preserve"> prepared for the AEA P&amp;P 2023</t>
  </si>
  <si>
    <t>Subset of the data created by Ramey-Zubairy JPE 2018.</t>
  </si>
  <si>
    <t>(See that paper for more details on data construction.)</t>
  </si>
  <si>
    <t>ngov</t>
  </si>
  <si>
    <t>nominal government purchases</t>
  </si>
  <si>
    <t>ngdp</t>
  </si>
  <si>
    <t>nominal GDP</t>
  </si>
  <si>
    <t>pgdp</t>
  </si>
  <si>
    <t>GDP implicit price deflator</t>
  </si>
  <si>
    <t>pop</t>
  </si>
  <si>
    <t>total population, including armed forces overseas</t>
  </si>
  <si>
    <t>recession</t>
  </si>
  <si>
    <t>recession indicator</t>
  </si>
  <si>
    <t>unemp</t>
  </si>
  <si>
    <t>civilian unemployment rate</t>
  </si>
  <si>
    <t>news</t>
  </si>
  <si>
    <t>military news</t>
  </si>
  <si>
    <t>rgdp</t>
  </si>
  <si>
    <t>real GDP</t>
  </si>
  <si>
    <t>nfedcurrreceipts_nipa</t>
  </si>
  <si>
    <t>nominal Federal current receipts, NIPA accrual basis</t>
  </si>
  <si>
    <t>rgdp_pott6</t>
  </si>
  <si>
    <t>real potential GDP, based on 6th degree polynomial fit from 1889:1 - 2015:4, ommiting Great Depression and WWII</t>
  </si>
  <si>
    <t>rgdp_potcbo</t>
  </si>
  <si>
    <t>real potential GDP, based on cubic polynomial fit from 1889:1 - 1950:2( omitting Great Depression and WWII), overlapped with CBO from 1949:1 - on</t>
  </si>
  <si>
    <t>rgdp_potma</t>
  </si>
  <si>
    <t>real potential GDP, based on backward-looking moving average of log(rgdp/tothours) and regression of log(real GDP) on that, plus log of two population series</t>
  </si>
  <si>
    <t>quarter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</si>
</sst>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"/>
  </numFmts>
  <fonts count="5">
    <font>
      <sz val="10.0"/>
      <color theme="1"/>
      <name val="Arial"/>
      <scheme val="minor"/>
    </font>
    <font>
      <b/>
      <sz val="10.0"/>
      <color theme="1"/>
      <name val="Arial"/>
    </font>
    <font>
      <b/>
      <sz val="10.0"/>
      <color theme="1"/>
      <name val="Calibri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Font="1" applyNumberFormat="1"/>
    <xf borderId="0" fillId="0" fontId="3" numFmtId="0" xfId="0" applyFont="1"/>
    <xf borderId="0" fillId="0" fontId="2" numFmtId="164" xfId="0" applyFont="1" applyNumberFormat="1"/>
    <xf borderId="0" fillId="0" fontId="2" numFmtId="0" xfId="0" applyFont="1"/>
    <xf borderId="0" fillId="0" fontId="4" numFmtId="2" xfId="0" applyFont="1" applyNumberFormat="1"/>
    <xf borderId="0" fillId="0" fontId="4" numFmtId="165" xfId="0" applyFont="1" applyNumberFormat="1"/>
    <xf borderId="0" fillId="0" fontId="4" numFmtId="1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6" width="8.63"/>
  </cols>
  <sheetData>
    <row r="1" ht="12.0" customHeight="1">
      <c r="A1" s="1" t="s">
        <v>0</v>
      </c>
    </row>
    <row r="2" ht="12.0" customHeight="1">
      <c r="A2" s="1" t="s">
        <v>1</v>
      </c>
    </row>
    <row r="3" ht="12.0" customHeight="1">
      <c r="A3" s="1"/>
    </row>
    <row r="4" ht="12.0" customHeight="1">
      <c r="A4" s="1" t="s">
        <v>2</v>
      </c>
    </row>
    <row r="5" ht="12.0" customHeight="1">
      <c r="A5" s="1" t="s">
        <v>3</v>
      </c>
    </row>
    <row r="6" ht="12.0" customHeight="1"/>
    <row r="7" ht="12.0" customHeight="1">
      <c r="A7" s="2" t="s">
        <v>4</v>
      </c>
      <c r="B7" s="3" t="s">
        <v>5</v>
      </c>
    </row>
    <row r="8" ht="12.0" customHeight="1">
      <c r="A8" s="2" t="s">
        <v>6</v>
      </c>
      <c r="B8" s="3" t="s">
        <v>7</v>
      </c>
    </row>
    <row r="9" ht="12.0" customHeight="1">
      <c r="A9" s="4" t="s">
        <v>8</v>
      </c>
      <c r="B9" s="3" t="s">
        <v>9</v>
      </c>
    </row>
    <row r="10" ht="12.0" customHeight="1">
      <c r="A10" s="2" t="s">
        <v>10</v>
      </c>
      <c r="B10" s="3" t="s">
        <v>11</v>
      </c>
    </row>
    <row r="11" ht="12.0" customHeight="1">
      <c r="A11" s="2" t="s">
        <v>12</v>
      </c>
      <c r="B11" s="3" t="s">
        <v>13</v>
      </c>
    </row>
    <row r="12" ht="12.0" customHeight="1">
      <c r="A12" s="2" t="s">
        <v>14</v>
      </c>
      <c r="B12" s="3" t="s">
        <v>15</v>
      </c>
    </row>
    <row r="13" ht="12.0" customHeight="1">
      <c r="A13" s="2" t="s">
        <v>16</v>
      </c>
      <c r="B13" s="3" t="s">
        <v>17</v>
      </c>
    </row>
    <row r="14" ht="12.0" customHeight="1">
      <c r="A14" s="2" t="s">
        <v>18</v>
      </c>
      <c r="B14" s="3" t="s">
        <v>19</v>
      </c>
    </row>
    <row r="15" ht="12.0" customHeight="1">
      <c r="A15" s="5" t="s">
        <v>20</v>
      </c>
      <c r="B15" s="3" t="s">
        <v>21</v>
      </c>
    </row>
    <row r="16" ht="12.0" customHeight="1">
      <c r="A16" s="5" t="s">
        <v>22</v>
      </c>
      <c r="B16" s="3" t="s">
        <v>23</v>
      </c>
    </row>
    <row r="17" ht="12.0" customHeight="1">
      <c r="A17" s="5" t="s">
        <v>24</v>
      </c>
      <c r="B17" s="3" t="s">
        <v>25</v>
      </c>
    </row>
    <row r="18" ht="12.0" customHeight="1">
      <c r="A18" s="5" t="s">
        <v>26</v>
      </c>
      <c r="B18" s="3" t="s">
        <v>27</v>
      </c>
    </row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" width="9.13"/>
    <col customWidth="1" min="3" max="3" width="10.25"/>
    <col customWidth="1" min="4" max="4" width="9.5"/>
    <col customWidth="1" min="5" max="5" width="10.0"/>
    <col customWidth="1" min="6" max="7" width="8.75"/>
    <col customWidth="1" min="8" max="8" width="9.13"/>
    <col customWidth="1" min="9" max="9" width="10.5"/>
    <col customWidth="1" min="10" max="10" width="18.25"/>
    <col customWidth="1" min="11" max="11" width="12.0"/>
    <col customWidth="1" min="12" max="12" width="10.88"/>
    <col customWidth="1" min="13" max="13" width="11.13"/>
    <col customWidth="1" min="14" max="26" width="8.63"/>
  </cols>
  <sheetData>
    <row r="1" ht="12.0" customHeight="1">
      <c r="A1" s="2" t="s">
        <v>28</v>
      </c>
      <c r="B1" s="2" t="s">
        <v>4</v>
      </c>
      <c r="C1" s="2" t="s">
        <v>6</v>
      </c>
      <c r="D1" s="4" t="s">
        <v>8</v>
      </c>
      <c r="E1" s="2" t="s">
        <v>10</v>
      </c>
      <c r="F1" s="2" t="s">
        <v>12</v>
      </c>
      <c r="G1" s="2" t="s">
        <v>14</v>
      </c>
      <c r="H1" s="2" t="s">
        <v>16</v>
      </c>
      <c r="I1" s="2" t="s">
        <v>18</v>
      </c>
      <c r="J1" s="5" t="s">
        <v>20</v>
      </c>
      <c r="K1" s="5" t="s">
        <v>22</v>
      </c>
      <c r="L1" s="5" t="s">
        <v>24</v>
      </c>
      <c r="M1" s="5" t="s">
        <v>26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0" customHeight="1">
      <c r="A2" s="6">
        <v>1889.0</v>
      </c>
      <c r="B2" s="3">
        <v>0.7603737</v>
      </c>
      <c r="C2" s="6">
        <f t="shared" ref="C2:C509" si="1">D2*I2</f>
        <v>14.90288469</v>
      </c>
      <c r="D2" s="3">
        <v>0.0510179</v>
      </c>
      <c r="E2" s="6">
        <v>61360.08203125</v>
      </c>
      <c r="F2" s="6">
        <v>0.0</v>
      </c>
      <c r="G2" s="6"/>
      <c r="H2" s="6"/>
      <c r="I2" s="3">
        <v>292.1109</v>
      </c>
      <c r="J2" s="3">
        <v>0.3550246</v>
      </c>
      <c r="K2" s="3">
        <v>266.4115</v>
      </c>
      <c r="M2" s="3">
        <v>293.43829345703125</v>
      </c>
    </row>
    <row r="3" ht="12.0" customHeight="1">
      <c r="A3" s="6">
        <v>1889.25</v>
      </c>
      <c r="B3" s="3">
        <v>0.6355724</v>
      </c>
      <c r="C3" s="6">
        <f t="shared" si="1"/>
        <v>14.56517658</v>
      </c>
      <c r="D3" s="3">
        <v>0.0504381</v>
      </c>
      <c r="E3" s="6">
        <v>61679.83203125</v>
      </c>
      <c r="F3" s="6">
        <v>0.0</v>
      </c>
      <c r="G3" s="6"/>
      <c r="H3" s="6"/>
      <c r="I3" s="3">
        <v>288.7733</v>
      </c>
      <c r="J3" s="3">
        <v>0.3653647</v>
      </c>
      <c r="K3" s="3">
        <v>269.8657</v>
      </c>
      <c r="M3" s="3">
        <v>293.81378173828125</v>
      </c>
    </row>
    <row r="4" ht="12.0" customHeight="1">
      <c r="A4" s="6">
        <v>1889.5</v>
      </c>
      <c r="B4" s="3">
        <v>0.7411983</v>
      </c>
      <c r="C4" s="6">
        <f t="shared" si="1"/>
        <v>14.55496321</v>
      </c>
      <c r="D4" s="3">
        <v>0.0503284</v>
      </c>
      <c r="E4" s="6">
        <v>61989.91796875</v>
      </c>
      <c r="F4" s="6">
        <v>0.0</v>
      </c>
      <c r="G4" s="6"/>
      <c r="H4" s="6"/>
      <c r="I4" s="3">
        <v>289.1998</v>
      </c>
      <c r="J4" s="3">
        <v>0.345054</v>
      </c>
      <c r="K4" s="3">
        <v>273.3183</v>
      </c>
      <c r="M4" s="3">
        <v>294.1899108886719</v>
      </c>
    </row>
    <row r="5" ht="12.0" customHeight="1">
      <c r="A5" s="6">
        <v>1889.75</v>
      </c>
      <c r="B5" s="3">
        <v>0.6833226</v>
      </c>
      <c r="C5" s="6">
        <f t="shared" si="1"/>
        <v>14.69340686</v>
      </c>
      <c r="D5" s="3">
        <v>0.0506873</v>
      </c>
      <c r="E5" s="6">
        <v>62280.66796875</v>
      </c>
      <c r="F5" s="6">
        <v>0.0</v>
      </c>
      <c r="G5" s="6"/>
      <c r="H5" s="6"/>
      <c r="I5" s="3">
        <v>289.8834</v>
      </c>
      <c r="J5" s="3">
        <v>0.3580757</v>
      </c>
      <c r="K5" s="3">
        <v>276.7694</v>
      </c>
      <c r="M5" s="3">
        <v>294.5665283203125</v>
      </c>
    </row>
    <row r="6" ht="12.0" customHeight="1">
      <c r="A6" s="6">
        <v>1890.0</v>
      </c>
      <c r="B6" s="3">
        <v>0.6321017</v>
      </c>
      <c r="C6" s="6">
        <f t="shared" si="1"/>
        <v>14.20533701</v>
      </c>
      <c r="D6" s="3">
        <v>0.0491468</v>
      </c>
      <c r="E6" s="6">
        <v>62571.41796875</v>
      </c>
      <c r="F6" s="6">
        <v>0.0</v>
      </c>
      <c r="G6" s="6">
        <v>3.4259</v>
      </c>
      <c r="H6" s="7">
        <v>0.0</v>
      </c>
      <c r="I6" s="3">
        <v>289.0389</v>
      </c>
      <c r="J6" s="3">
        <v>0.3732986</v>
      </c>
      <c r="K6" s="3">
        <v>280.2186</v>
      </c>
      <c r="M6" s="3">
        <v>294.9436340332031</v>
      </c>
    </row>
    <row r="7" ht="12.0" customHeight="1">
      <c r="A7" s="6">
        <v>1890.25</v>
      </c>
      <c r="B7" s="3">
        <v>0.7189555</v>
      </c>
      <c r="C7" s="6">
        <f t="shared" si="1"/>
        <v>14.36332564</v>
      </c>
      <c r="D7" s="3">
        <v>0.0489625</v>
      </c>
      <c r="E7" s="6">
        <v>62862.16796875</v>
      </c>
      <c r="F7" s="6">
        <v>0.0</v>
      </c>
      <c r="G7" s="6">
        <v>3.4769</v>
      </c>
      <c r="H7" s="7">
        <v>0.014</v>
      </c>
      <c r="I7" s="3">
        <v>293.3536</v>
      </c>
      <c r="J7" s="3">
        <v>0.3951653</v>
      </c>
      <c r="K7" s="3">
        <v>283.6658</v>
      </c>
      <c r="M7" s="3">
        <v>295.32122802734375</v>
      </c>
    </row>
    <row r="8" ht="12.0" customHeight="1">
      <c r="A8" s="6">
        <v>1890.5</v>
      </c>
      <c r="B8" s="3">
        <v>0.8199152</v>
      </c>
      <c r="C8" s="6">
        <f t="shared" si="1"/>
        <v>14.8655134</v>
      </c>
      <c r="D8" s="3">
        <v>0.0499163</v>
      </c>
      <c r="E8" s="6">
        <v>63170.66796875</v>
      </c>
      <c r="F8" s="6">
        <v>1.0</v>
      </c>
      <c r="G8" s="6">
        <v>4.2455</v>
      </c>
      <c r="H8" s="7">
        <v>0.0</v>
      </c>
      <c r="I8" s="3">
        <v>297.8088</v>
      </c>
      <c r="J8" s="3">
        <v>0.385496</v>
      </c>
      <c r="K8" s="3">
        <v>287.1108</v>
      </c>
      <c r="M8" s="3">
        <v>295.6991271972656</v>
      </c>
    </row>
    <row r="9" ht="12.0" customHeight="1">
      <c r="A9" s="6">
        <v>1890.75</v>
      </c>
      <c r="B9" s="3">
        <v>0.8215294</v>
      </c>
      <c r="C9" s="6">
        <f t="shared" si="1"/>
        <v>15.1640635</v>
      </c>
      <c r="D9" s="3">
        <v>0.0497375</v>
      </c>
      <c r="E9" s="6">
        <v>63514.66796875</v>
      </c>
      <c r="F9" s="6">
        <v>1.0</v>
      </c>
      <c r="G9" s="6">
        <v>4.7317</v>
      </c>
      <c r="H9" s="7">
        <v>0.0</v>
      </c>
      <c r="I9" s="3">
        <v>304.8819</v>
      </c>
      <c r="J9" s="3">
        <v>0.3808596</v>
      </c>
      <c r="K9" s="3">
        <v>290.5536</v>
      </c>
      <c r="M9" s="3">
        <v>296.0776672363281</v>
      </c>
    </row>
    <row r="10" ht="12.0" customHeight="1">
      <c r="A10" s="6">
        <v>1891.0</v>
      </c>
      <c r="B10" s="3">
        <v>0.7841692</v>
      </c>
      <c r="C10" s="6">
        <f t="shared" si="1"/>
        <v>15.11654604</v>
      </c>
      <c r="D10" s="3">
        <v>0.0496527</v>
      </c>
      <c r="E10" s="6">
        <v>63858.66796875</v>
      </c>
      <c r="F10" s="6">
        <v>1.0</v>
      </c>
      <c r="G10" s="6">
        <v>4.9191</v>
      </c>
      <c r="H10" s="7">
        <v>0.0</v>
      </c>
      <c r="I10" s="3">
        <v>304.4456</v>
      </c>
      <c r="J10" s="3">
        <v>0.3518699</v>
      </c>
      <c r="K10" s="3">
        <v>293.994</v>
      </c>
      <c r="M10" s="3">
        <v>300.7671813964844</v>
      </c>
    </row>
    <row r="11" ht="12.0" customHeight="1">
      <c r="A11" s="6">
        <v>1891.25</v>
      </c>
      <c r="B11" s="3">
        <v>0.9030604</v>
      </c>
      <c r="C11" s="6">
        <f t="shared" si="1"/>
        <v>15.34417707</v>
      </c>
      <c r="D11" s="3">
        <v>0.0498814</v>
      </c>
      <c r="E11" s="6">
        <v>64202.66796875</v>
      </c>
      <c r="F11" s="6">
        <v>1.0</v>
      </c>
      <c r="G11" s="6">
        <v>4.729</v>
      </c>
      <c r="H11" s="7">
        <v>0.0</v>
      </c>
      <c r="I11" s="3">
        <v>307.6132</v>
      </c>
      <c r="J11" s="3">
        <v>0.3151473</v>
      </c>
      <c r="K11" s="3">
        <v>297.432</v>
      </c>
      <c r="M11" s="3">
        <v>305.5311279296875</v>
      </c>
    </row>
    <row r="12" ht="12.0" customHeight="1">
      <c r="A12" s="6">
        <v>1891.5</v>
      </c>
      <c r="B12" s="3">
        <v>0.6748928</v>
      </c>
      <c r="C12" s="6">
        <f t="shared" si="1"/>
        <v>16.10277185</v>
      </c>
      <c r="D12" s="3">
        <v>0.0489887</v>
      </c>
      <c r="E12" s="6">
        <v>64556.0</v>
      </c>
      <c r="F12" s="6">
        <v>0.0</v>
      </c>
      <c r="G12" s="6">
        <v>4.145</v>
      </c>
      <c r="H12" s="7">
        <v>0.0</v>
      </c>
      <c r="I12" s="3">
        <v>328.7038</v>
      </c>
      <c r="J12" s="3">
        <v>0.3175596</v>
      </c>
      <c r="K12" s="3">
        <v>300.8673</v>
      </c>
      <c r="M12" s="3">
        <v>310.370361328125</v>
      </c>
    </row>
    <row r="13" ht="12.0" customHeight="1">
      <c r="A13" s="6">
        <v>1891.75</v>
      </c>
      <c r="B13" s="3">
        <v>0.7797781</v>
      </c>
      <c r="C13" s="6">
        <f t="shared" si="1"/>
        <v>16.21609862</v>
      </c>
      <c r="D13" s="3">
        <v>0.0489263</v>
      </c>
      <c r="E13" s="6">
        <v>64928.0</v>
      </c>
      <c r="F13" s="6">
        <v>0.0</v>
      </c>
      <c r="G13" s="6">
        <v>4.1669</v>
      </c>
      <c r="H13" s="7">
        <v>0.0</v>
      </c>
      <c r="I13" s="3">
        <v>331.4393</v>
      </c>
      <c r="J13" s="3">
        <v>0.3197059</v>
      </c>
      <c r="K13" s="3">
        <v>304.3</v>
      </c>
      <c r="M13" s="3">
        <v>315.2862243652344</v>
      </c>
    </row>
    <row r="14" ht="12.0" customHeight="1">
      <c r="A14" s="6">
        <v>1892.0</v>
      </c>
      <c r="B14" s="3">
        <v>0.8046356</v>
      </c>
      <c r="C14" s="6">
        <f t="shared" si="1"/>
        <v>15.91716544</v>
      </c>
      <c r="D14" s="3">
        <v>0.0483714</v>
      </c>
      <c r="E14" s="6">
        <v>65300.0</v>
      </c>
      <c r="F14" s="6">
        <v>0.0</v>
      </c>
      <c r="G14" s="6">
        <v>4.1501</v>
      </c>
      <c r="H14" s="7">
        <v>0.0</v>
      </c>
      <c r="I14" s="3">
        <v>329.0615</v>
      </c>
      <c r="J14" s="3">
        <v>0.3350884</v>
      </c>
      <c r="K14" s="3">
        <v>307.7303</v>
      </c>
      <c r="M14" s="3">
        <v>316.03973388671875</v>
      </c>
    </row>
    <row r="15" ht="12.0" customHeight="1">
      <c r="A15" s="6">
        <v>1892.25</v>
      </c>
      <c r="B15" s="3">
        <v>0.8614913</v>
      </c>
      <c r="C15" s="6">
        <f t="shared" si="1"/>
        <v>15.39202603</v>
      </c>
      <c r="D15" s="3">
        <v>0.0477326</v>
      </c>
      <c r="E15" s="6">
        <v>65672.0</v>
      </c>
      <c r="F15" s="6">
        <v>0.0</v>
      </c>
      <c r="G15" s="6">
        <v>4.1986</v>
      </c>
      <c r="H15" s="7">
        <v>0.0</v>
      </c>
      <c r="I15" s="3">
        <v>322.4636</v>
      </c>
      <c r="J15" s="3">
        <v>0.3234762</v>
      </c>
      <c r="K15" s="3">
        <v>311.158</v>
      </c>
      <c r="M15" s="3">
        <v>316.7950439453125</v>
      </c>
    </row>
    <row r="16" ht="12.0" customHeight="1">
      <c r="A16" s="6">
        <v>1892.5</v>
      </c>
      <c r="B16" s="3">
        <v>0.7863287</v>
      </c>
      <c r="C16" s="6">
        <f t="shared" si="1"/>
        <v>15.68855635</v>
      </c>
      <c r="D16" s="3">
        <v>0.0489556</v>
      </c>
      <c r="E16" s="6">
        <v>66049.1640625</v>
      </c>
      <c r="F16" s="6">
        <v>0.0</v>
      </c>
      <c r="G16" s="6">
        <v>4.3342</v>
      </c>
      <c r="H16" s="7">
        <v>0.0</v>
      </c>
      <c r="I16" s="3">
        <v>320.465</v>
      </c>
      <c r="J16" s="3">
        <v>0.3468159</v>
      </c>
      <c r="K16" s="3">
        <v>314.5828</v>
      </c>
      <c r="M16" s="3">
        <v>317.5521545410156</v>
      </c>
    </row>
    <row r="17" ht="12.0" customHeight="1">
      <c r="A17" s="6">
        <v>1892.75</v>
      </c>
      <c r="B17" s="3">
        <v>0.8162073</v>
      </c>
      <c r="C17" s="6">
        <f t="shared" si="1"/>
        <v>16.2375238</v>
      </c>
      <c r="D17" s="3">
        <v>0.0498782</v>
      </c>
      <c r="E17" s="6">
        <v>66436.6640625</v>
      </c>
      <c r="F17" s="6">
        <v>0.0</v>
      </c>
      <c r="G17" s="6">
        <v>4.5571</v>
      </c>
      <c r="H17" s="7">
        <v>0.0</v>
      </c>
      <c r="I17" s="3">
        <v>325.5435</v>
      </c>
      <c r="J17" s="3">
        <v>0.3570092</v>
      </c>
      <c r="K17" s="3">
        <v>318.0052</v>
      </c>
      <c r="M17" s="3">
        <v>318.3110656738281</v>
      </c>
    </row>
    <row r="18" ht="12.0" customHeight="1">
      <c r="A18" s="6">
        <v>1893.0</v>
      </c>
      <c r="B18" s="3">
        <v>0.9060476</v>
      </c>
      <c r="C18" s="6">
        <f t="shared" si="1"/>
        <v>16.92168668</v>
      </c>
      <c r="D18" s="3">
        <v>0.0510745</v>
      </c>
      <c r="E18" s="6">
        <v>66824.1640625</v>
      </c>
      <c r="F18" s="6">
        <v>1.0</v>
      </c>
      <c r="G18" s="6">
        <v>5.5508</v>
      </c>
      <c r="H18" s="7">
        <v>0.0</v>
      </c>
      <c r="I18" s="3">
        <v>331.3138</v>
      </c>
      <c r="J18" s="3">
        <v>0.3611262</v>
      </c>
      <c r="K18" s="3">
        <v>321.4251</v>
      </c>
      <c r="M18" s="3">
        <v>318.3189697265625</v>
      </c>
    </row>
    <row r="19" ht="12.0" customHeight="1">
      <c r="A19" s="6">
        <v>1893.25</v>
      </c>
      <c r="B19" s="3">
        <v>0.8777867</v>
      </c>
      <c r="C19" s="6">
        <f t="shared" si="1"/>
        <v>16.31539258</v>
      </c>
      <c r="D19" s="3">
        <v>0.049383</v>
      </c>
      <c r="E19" s="6">
        <v>67211.6640625</v>
      </c>
      <c r="F19" s="6">
        <v>1.0</v>
      </c>
      <c r="G19" s="6">
        <v>6.3958</v>
      </c>
      <c r="H19" s="7">
        <v>0.0</v>
      </c>
      <c r="I19" s="3">
        <v>330.3848</v>
      </c>
      <c r="J19" s="3">
        <v>0.3436248</v>
      </c>
      <c r="K19" s="3">
        <v>324.8427</v>
      </c>
      <c r="M19" s="3">
        <v>318.32684326171875</v>
      </c>
    </row>
    <row r="20" ht="12.0" customHeight="1">
      <c r="A20" s="6">
        <v>1893.5</v>
      </c>
      <c r="B20" s="3">
        <v>0.8190225</v>
      </c>
      <c r="C20" s="6">
        <f t="shared" si="1"/>
        <v>14.31806042</v>
      </c>
      <c r="D20" s="3">
        <v>0.0473083</v>
      </c>
      <c r="E20" s="6">
        <v>67590.0</v>
      </c>
      <c r="F20" s="6">
        <v>1.0</v>
      </c>
      <c r="G20" s="6">
        <v>7.1092</v>
      </c>
      <c r="H20" s="7">
        <v>0.0</v>
      </c>
      <c r="I20" s="3">
        <v>302.6543</v>
      </c>
      <c r="J20" s="3">
        <v>0.2808095</v>
      </c>
      <c r="K20" s="3">
        <v>328.2578</v>
      </c>
      <c r="M20" s="3">
        <v>318.3345947265625</v>
      </c>
    </row>
    <row r="21" ht="12.0" customHeight="1">
      <c r="A21" s="6">
        <v>1893.75</v>
      </c>
      <c r="B21" s="3">
        <v>0.819732</v>
      </c>
      <c r="C21" s="6">
        <f t="shared" si="1"/>
        <v>13.86966678</v>
      </c>
      <c r="D21" s="3">
        <v>0.0477999</v>
      </c>
      <c r="E21" s="6">
        <v>67950.0</v>
      </c>
      <c r="F21" s="6">
        <v>1.0</v>
      </c>
      <c r="G21" s="6">
        <v>8.0242</v>
      </c>
      <c r="H21" s="7">
        <v>0.0</v>
      </c>
      <c r="I21" s="3">
        <v>290.161</v>
      </c>
      <c r="J21" s="3">
        <v>0.2809137</v>
      </c>
      <c r="K21" s="3">
        <v>331.6707</v>
      </c>
      <c r="M21" s="3">
        <v>318.3424987792969</v>
      </c>
    </row>
    <row r="22" ht="12.0" customHeight="1">
      <c r="A22" s="6">
        <v>1894.0</v>
      </c>
      <c r="B22" s="3">
        <v>0.8278148</v>
      </c>
      <c r="C22" s="6">
        <f t="shared" si="1"/>
        <v>13.41254348</v>
      </c>
      <c r="D22" s="3">
        <v>0.0465504</v>
      </c>
      <c r="E22" s="6">
        <v>68310.0</v>
      </c>
      <c r="F22" s="6">
        <v>1.0</v>
      </c>
      <c r="G22" s="6">
        <v>9.0548</v>
      </c>
      <c r="H22" s="7">
        <v>0.0</v>
      </c>
      <c r="I22" s="3">
        <v>288.1295</v>
      </c>
      <c r="J22" s="3">
        <v>0.2710442</v>
      </c>
      <c r="K22" s="3">
        <v>335.0816</v>
      </c>
      <c r="M22" s="3">
        <v>318.38818359375</v>
      </c>
    </row>
    <row r="23" ht="12.0" customHeight="1">
      <c r="A23" s="6">
        <v>1894.25</v>
      </c>
      <c r="B23" s="3">
        <v>0.8591958</v>
      </c>
      <c r="C23" s="6">
        <f t="shared" si="1"/>
        <v>13.17929204</v>
      </c>
      <c r="D23" s="3">
        <v>0.0459521</v>
      </c>
      <c r="E23" s="6">
        <v>68670.0</v>
      </c>
      <c r="F23" s="6">
        <v>1.0</v>
      </c>
      <c r="G23" s="6">
        <v>9.7916</v>
      </c>
      <c r="H23" s="7">
        <v>0.0</v>
      </c>
      <c r="I23" s="3">
        <v>286.805</v>
      </c>
      <c r="J23" s="3">
        <v>0.2856929</v>
      </c>
      <c r="K23" s="3">
        <v>338.4904</v>
      </c>
      <c r="M23" s="3">
        <v>318.4338684082031</v>
      </c>
    </row>
    <row r="24" ht="12.0" customHeight="1">
      <c r="A24" s="6">
        <v>1894.5</v>
      </c>
      <c r="B24" s="3">
        <v>0.8707176</v>
      </c>
      <c r="C24" s="6">
        <f t="shared" si="1"/>
        <v>13.94645095</v>
      </c>
      <c r="D24" s="3">
        <v>0.0467894</v>
      </c>
      <c r="E24" s="6">
        <v>69007.1640625</v>
      </c>
      <c r="F24" s="6">
        <v>0.0</v>
      </c>
      <c r="G24" s="6">
        <v>9.1484</v>
      </c>
      <c r="H24" s="7">
        <v>0.0</v>
      </c>
      <c r="I24" s="3">
        <v>298.0686</v>
      </c>
      <c r="J24" s="3">
        <v>0.3545938</v>
      </c>
      <c r="K24" s="3">
        <v>341.8974</v>
      </c>
      <c r="M24" s="3">
        <v>318.4795837402344</v>
      </c>
    </row>
    <row r="25" ht="12.0" customHeight="1">
      <c r="A25" s="6">
        <v>1894.75</v>
      </c>
      <c r="B25" s="3">
        <v>0.8512791</v>
      </c>
      <c r="C25" s="6">
        <f t="shared" si="1"/>
        <v>14.4227577</v>
      </c>
      <c r="D25" s="3">
        <v>0.0459147</v>
      </c>
      <c r="E25" s="6">
        <v>69298.6640625</v>
      </c>
      <c r="F25" s="6">
        <v>0.0</v>
      </c>
      <c r="G25" s="6">
        <v>9.1253</v>
      </c>
      <c r="H25" s="7">
        <v>0.0</v>
      </c>
      <c r="I25" s="3">
        <v>314.1207</v>
      </c>
      <c r="J25" s="3">
        <v>0.2420591</v>
      </c>
      <c r="K25" s="3">
        <v>345.3029</v>
      </c>
      <c r="M25" s="3">
        <v>318.5252990722656</v>
      </c>
    </row>
    <row r="26" ht="12.0" customHeight="1">
      <c r="A26" s="6">
        <v>1895.0</v>
      </c>
      <c r="B26" s="3">
        <v>0.8635483</v>
      </c>
      <c r="C26" s="6">
        <f t="shared" si="1"/>
        <v>14.47160013</v>
      </c>
      <c r="D26" s="3">
        <v>0.0445167</v>
      </c>
      <c r="E26" s="6">
        <v>69590.1640625</v>
      </c>
      <c r="F26" s="6">
        <v>0.0</v>
      </c>
      <c r="G26" s="6">
        <v>8.7956</v>
      </c>
      <c r="H26" s="7">
        <v>0.0</v>
      </c>
      <c r="I26" s="3">
        <v>325.0825</v>
      </c>
      <c r="J26" s="3">
        <v>0.2952491</v>
      </c>
      <c r="K26" s="3">
        <v>348.7069</v>
      </c>
      <c r="M26" s="3">
        <v>326.20037841796875</v>
      </c>
    </row>
    <row r="27" ht="12.0" customHeight="1">
      <c r="A27" s="6">
        <v>1895.25</v>
      </c>
      <c r="B27" s="3">
        <v>0.8787251</v>
      </c>
      <c r="C27" s="6">
        <f t="shared" si="1"/>
        <v>15.45196587</v>
      </c>
      <c r="D27" s="3">
        <v>0.0460961</v>
      </c>
      <c r="E27" s="6">
        <v>69881.6640625</v>
      </c>
      <c r="F27" s="6">
        <v>0.0</v>
      </c>
      <c r="G27" s="6">
        <v>8.5081</v>
      </c>
      <c r="H27" s="7">
        <v>0.0</v>
      </c>
      <c r="I27" s="3">
        <v>335.212</v>
      </c>
      <c r="J27" s="3">
        <v>0.2936392</v>
      </c>
      <c r="K27" s="3">
        <v>352.1098</v>
      </c>
      <c r="M27" s="3">
        <v>334.060546875</v>
      </c>
    </row>
    <row r="28" ht="12.0" customHeight="1">
      <c r="A28" s="6">
        <v>1895.5</v>
      </c>
      <c r="B28" s="3">
        <v>0.8801033</v>
      </c>
      <c r="C28" s="6">
        <f t="shared" si="1"/>
        <v>16.06497221</v>
      </c>
      <c r="D28" s="3">
        <v>0.0458667</v>
      </c>
      <c r="E28" s="6">
        <v>70168.6640625</v>
      </c>
      <c r="F28" s="6">
        <v>0.0</v>
      </c>
      <c r="G28" s="6">
        <v>8.3363</v>
      </c>
      <c r="H28" s="7">
        <v>0.0</v>
      </c>
      <c r="I28" s="3">
        <v>350.2535</v>
      </c>
      <c r="J28" s="3">
        <v>0.3132012</v>
      </c>
      <c r="K28" s="3">
        <v>355.5117</v>
      </c>
      <c r="M28" s="3">
        <v>342.10992431640625</v>
      </c>
    </row>
    <row r="29" ht="12.0" customHeight="1">
      <c r="A29" s="6">
        <v>1895.75</v>
      </c>
      <c r="B29" s="3">
        <v>0.8771753</v>
      </c>
      <c r="C29" s="6">
        <f t="shared" si="1"/>
        <v>16.48739708</v>
      </c>
      <c r="D29" s="3">
        <v>0.045902</v>
      </c>
      <c r="E29" s="6">
        <v>70446.6640625</v>
      </c>
      <c r="F29" s="6">
        <v>0.0</v>
      </c>
      <c r="G29" s="6">
        <v>8.28</v>
      </c>
      <c r="H29" s="7">
        <v>0.0</v>
      </c>
      <c r="I29" s="3">
        <v>359.1869</v>
      </c>
      <c r="J29" s="3">
        <v>0.3161537</v>
      </c>
      <c r="K29" s="3">
        <v>358.9128</v>
      </c>
      <c r="M29" s="3">
        <v>350.353271484375</v>
      </c>
    </row>
    <row r="30" ht="12.0" customHeight="1">
      <c r="A30" s="6">
        <v>1896.0</v>
      </c>
      <c r="B30" s="3">
        <v>0.8781099</v>
      </c>
      <c r="C30" s="6">
        <f t="shared" si="1"/>
        <v>15.83170786</v>
      </c>
      <c r="D30" s="3">
        <v>0.0459023</v>
      </c>
      <c r="E30" s="6">
        <v>70724.6640625</v>
      </c>
      <c r="F30" s="6">
        <v>1.0</v>
      </c>
      <c r="G30" s="6">
        <v>9.3144</v>
      </c>
      <c r="H30" s="7">
        <v>0.0</v>
      </c>
      <c r="I30" s="3">
        <v>344.9001</v>
      </c>
      <c r="J30" s="3">
        <v>0.3148652</v>
      </c>
      <c r="K30" s="3">
        <v>362.3135</v>
      </c>
      <c r="M30" s="3">
        <v>350.4491882324219</v>
      </c>
    </row>
    <row r="31" ht="12.0" customHeight="1">
      <c r="A31" s="6">
        <v>1896.25</v>
      </c>
      <c r="B31" s="3">
        <v>0.860608</v>
      </c>
      <c r="C31" s="6">
        <f t="shared" si="1"/>
        <v>15.51088356</v>
      </c>
      <c r="D31" s="3">
        <v>0.0455068</v>
      </c>
      <c r="E31" s="6">
        <v>71002.6640625</v>
      </c>
      <c r="F31" s="6">
        <v>1.0</v>
      </c>
      <c r="G31" s="6">
        <v>9.3204</v>
      </c>
      <c r="H31" s="7">
        <v>0.0</v>
      </c>
      <c r="I31" s="3">
        <v>340.8476</v>
      </c>
      <c r="J31" s="3">
        <v>0.2902901</v>
      </c>
      <c r="K31" s="3">
        <v>365.714</v>
      </c>
      <c r="M31" s="3">
        <v>350.5451354980469</v>
      </c>
    </row>
    <row r="32" ht="12.0" customHeight="1">
      <c r="A32" s="6">
        <v>1896.5</v>
      </c>
      <c r="B32" s="3">
        <v>0.9333457</v>
      </c>
      <c r="C32" s="6">
        <f t="shared" si="1"/>
        <v>15.06759656</v>
      </c>
      <c r="D32" s="3">
        <v>0.0450603</v>
      </c>
      <c r="E32" s="6">
        <v>71292.4140625</v>
      </c>
      <c r="F32" s="6">
        <v>1.0</v>
      </c>
      <c r="G32" s="6">
        <v>9.273</v>
      </c>
      <c r="H32" s="7">
        <v>0.0</v>
      </c>
      <c r="I32" s="3">
        <v>334.3874</v>
      </c>
      <c r="J32" s="3">
        <v>0.2816004</v>
      </c>
      <c r="K32" s="3">
        <v>369.1146</v>
      </c>
      <c r="M32" s="3">
        <v>350.6410827636719</v>
      </c>
    </row>
    <row r="33" ht="12.0" customHeight="1">
      <c r="A33" s="6">
        <v>1896.75</v>
      </c>
      <c r="B33" s="3">
        <v>0.9451965</v>
      </c>
      <c r="C33" s="6">
        <f t="shared" si="1"/>
        <v>15.29574332</v>
      </c>
      <c r="D33" s="3">
        <v>0.04654</v>
      </c>
      <c r="E33" s="6">
        <v>71605.6640625</v>
      </c>
      <c r="F33" s="6">
        <v>1.0</v>
      </c>
      <c r="G33" s="6">
        <v>9.1722</v>
      </c>
      <c r="H33" s="7">
        <v>0.0</v>
      </c>
      <c r="I33" s="3">
        <v>328.658</v>
      </c>
      <c r="J33" s="3">
        <v>0.2918757</v>
      </c>
      <c r="K33" s="3">
        <v>372.5155</v>
      </c>
      <c r="M33" s="3">
        <v>350.737060546875</v>
      </c>
    </row>
    <row r="34" ht="12.0" customHeight="1">
      <c r="A34" s="6">
        <v>1897.0</v>
      </c>
      <c r="B34" s="3">
        <v>0.9563862</v>
      </c>
      <c r="C34" s="6">
        <f t="shared" si="1"/>
        <v>15.61686336</v>
      </c>
      <c r="D34" s="3">
        <v>0.045316</v>
      </c>
      <c r="E34" s="6">
        <v>71918.9140625</v>
      </c>
      <c r="F34" s="6">
        <v>1.0</v>
      </c>
      <c r="G34" s="6">
        <v>9.038</v>
      </c>
      <c r="H34" s="7">
        <v>0.0</v>
      </c>
      <c r="I34" s="3">
        <v>344.6214</v>
      </c>
      <c r="J34" s="3">
        <v>0.315015</v>
      </c>
      <c r="K34" s="3">
        <v>375.9171</v>
      </c>
      <c r="M34" s="3">
        <v>354.3043518066406</v>
      </c>
    </row>
    <row r="35" ht="12.0" customHeight="1">
      <c r="A35" s="6">
        <v>1897.25</v>
      </c>
      <c r="B35" s="3">
        <v>0.9422573</v>
      </c>
      <c r="C35" s="6">
        <f t="shared" si="1"/>
        <v>15.46219557</v>
      </c>
      <c r="D35" s="3">
        <v>0.0442284</v>
      </c>
      <c r="E35" s="6">
        <v>72232.1640625</v>
      </c>
      <c r="F35" s="6">
        <v>1.0</v>
      </c>
      <c r="G35" s="6">
        <v>8.9651</v>
      </c>
      <c r="H35" s="7">
        <v>0.0</v>
      </c>
      <c r="I35" s="3">
        <v>349.5988</v>
      </c>
      <c r="J35" s="3">
        <v>0.3809944</v>
      </c>
      <c r="K35" s="3">
        <v>379.3199</v>
      </c>
      <c r="M35" s="3">
        <v>357.90789794921875</v>
      </c>
    </row>
    <row r="36" ht="12.0" customHeight="1">
      <c r="A36" s="6">
        <v>1897.5</v>
      </c>
      <c r="B36" s="3">
        <v>0.9850685</v>
      </c>
      <c r="C36" s="6">
        <f t="shared" si="1"/>
        <v>16.35924643</v>
      </c>
      <c r="D36" s="3">
        <v>0.0450258</v>
      </c>
      <c r="E36" s="6">
        <v>72537.5859375</v>
      </c>
      <c r="F36" s="6">
        <v>0.0</v>
      </c>
      <c r="G36" s="6">
        <v>7.9736</v>
      </c>
      <c r="H36" s="7">
        <v>0.0</v>
      </c>
      <c r="I36" s="3">
        <v>363.3305</v>
      </c>
      <c r="J36" s="3">
        <v>0.2728139</v>
      </c>
      <c r="K36" s="3">
        <v>382.7239</v>
      </c>
      <c r="M36" s="3">
        <v>361.5479431152344</v>
      </c>
    </row>
    <row r="37" ht="12.0" customHeight="1">
      <c r="A37" s="6">
        <v>1897.75</v>
      </c>
      <c r="B37" s="3">
        <v>0.9372736</v>
      </c>
      <c r="C37" s="6">
        <f t="shared" si="1"/>
        <v>16.80740391</v>
      </c>
      <c r="D37" s="3">
        <v>0.0456139</v>
      </c>
      <c r="E37" s="6">
        <v>72827.3359375</v>
      </c>
      <c r="F37" s="6">
        <v>0.0</v>
      </c>
      <c r="G37" s="6">
        <v>8.0633</v>
      </c>
      <c r="H37" s="7">
        <v>0.0</v>
      </c>
      <c r="I37" s="3">
        <v>368.4711</v>
      </c>
      <c r="J37" s="3">
        <v>0.4714647</v>
      </c>
      <c r="K37" s="3">
        <v>386.1295</v>
      </c>
      <c r="M37" s="3">
        <v>365.2251892089844</v>
      </c>
    </row>
    <row r="38" ht="12.0" customHeight="1">
      <c r="A38" s="6">
        <v>1898.0</v>
      </c>
      <c r="B38" s="3">
        <v>0.909265</v>
      </c>
      <c r="C38" s="6">
        <f t="shared" si="1"/>
        <v>16.93400922</v>
      </c>
      <c r="D38" s="3">
        <v>0.0459072</v>
      </c>
      <c r="E38" s="6">
        <v>73117.0859375</v>
      </c>
      <c r="F38" s="6">
        <v>0.0</v>
      </c>
      <c r="G38" s="6">
        <v>8.1837</v>
      </c>
      <c r="H38" s="7">
        <v>0.0</v>
      </c>
      <c r="I38" s="3">
        <v>368.8748</v>
      </c>
      <c r="J38" s="3">
        <v>0.3702157</v>
      </c>
      <c r="K38" s="3">
        <v>389.5375</v>
      </c>
      <c r="M38" s="3">
        <v>367.5254821777344</v>
      </c>
    </row>
    <row r="39" ht="12.0" customHeight="1">
      <c r="A39" s="6">
        <v>1898.25</v>
      </c>
      <c r="B39" s="3">
        <v>1.250918</v>
      </c>
      <c r="C39" s="6">
        <f t="shared" si="1"/>
        <v>17.01343793</v>
      </c>
      <c r="D39" s="3">
        <v>0.0465794</v>
      </c>
      <c r="E39" s="6">
        <v>73406.8359375</v>
      </c>
      <c r="F39" s="6">
        <v>0.0</v>
      </c>
      <c r="G39" s="6">
        <v>8.0947</v>
      </c>
      <c r="H39" s="7">
        <v>0.2</v>
      </c>
      <c r="I39" s="3">
        <v>365.2567</v>
      </c>
      <c r="J39" s="3">
        <v>0.3652774</v>
      </c>
      <c r="K39" s="3">
        <v>392.9479</v>
      </c>
      <c r="M39" s="3">
        <v>369.840087890625</v>
      </c>
    </row>
    <row r="40" ht="12.0" customHeight="1">
      <c r="A40" s="6">
        <v>1898.5</v>
      </c>
      <c r="B40" s="3">
        <v>1.328835</v>
      </c>
      <c r="C40" s="6">
        <f t="shared" si="1"/>
        <v>16.39361815</v>
      </c>
      <c r="D40" s="3">
        <v>0.0451226</v>
      </c>
      <c r="E40" s="6">
        <v>73699.4140625</v>
      </c>
      <c r="F40" s="6">
        <v>0.0</v>
      </c>
      <c r="G40" s="6">
        <v>7.7455</v>
      </c>
      <c r="H40" s="7">
        <v>-0.05</v>
      </c>
      <c r="I40" s="3">
        <v>363.3128</v>
      </c>
      <c r="J40" s="3">
        <v>0.4416642</v>
      </c>
      <c r="K40" s="3">
        <v>396.3611</v>
      </c>
      <c r="M40" s="3">
        <v>372.16925048828125</v>
      </c>
    </row>
    <row r="41" ht="12.0" customHeight="1">
      <c r="A41" s="6">
        <v>1898.75</v>
      </c>
      <c r="B41" s="3">
        <v>1.192142</v>
      </c>
      <c r="C41" s="6">
        <f t="shared" si="1"/>
        <v>16.49595098</v>
      </c>
      <c r="D41" s="3">
        <v>0.0447723</v>
      </c>
      <c r="E41" s="6">
        <v>73997.6640625</v>
      </c>
      <c r="F41" s="6">
        <v>0.0</v>
      </c>
      <c r="G41" s="6">
        <v>7.1361</v>
      </c>
      <c r="H41" s="7">
        <v>0.0</v>
      </c>
      <c r="I41" s="3">
        <v>368.441</v>
      </c>
      <c r="J41" s="3">
        <v>0.4368907</v>
      </c>
      <c r="K41" s="3">
        <v>399.7775</v>
      </c>
      <c r="M41" s="3">
        <v>374.5132751464844</v>
      </c>
    </row>
    <row r="42" ht="12.0" customHeight="1">
      <c r="A42" s="6">
        <v>1899.0</v>
      </c>
      <c r="B42" s="3">
        <v>1.27611</v>
      </c>
      <c r="C42" s="6">
        <f t="shared" si="1"/>
        <v>17.84193471</v>
      </c>
      <c r="D42" s="3">
        <v>0.0452398</v>
      </c>
      <c r="E42" s="6">
        <v>74295.9140625</v>
      </c>
      <c r="F42" s="6">
        <v>0.0</v>
      </c>
      <c r="G42" s="6">
        <v>6.3248</v>
      </c>
      <c r="H42" s="7">
        <v>0.106</v>
      </c>
      <c r="I42" s="3">
        <v>394.3858</v>
      </c>
      <c r="J42" s="3">
        <v>0.5105717</v>
      </c>
      <c r="K42" s="3">
        <v>403.1978</v>
      </c>
      <c r="M42" s="3">
        <v>377.6308288574219</v>
      </c>
    </row>
    <row r="43" ht="12.0" customHeight="1">
      <c r="A43" s="6">
        <v>1899.25</v>
      </c>
      <c r="B43" s="3">
        <v>1.299786</v>
      </c>
      <c r="C43" s="6">
        <f t="shared" si="1"/>
        <v>18.14083362</v>
      </c>
      <c r="D43" s="3">
        <v>0.0456562</v>
      </c>
      <c r="E43" s="6">
        <v>74594.1640625</v>
      </c>
      <c r="F43" s="6">
        <v>0.0</v>
      </c>
      <c r="G43" s="6">
        <v>5.5871</v>
      </c>
      <c r="H43" s="7">
        <v>0.0</v>
      </c>
      <c r="I43" s="3">
        <v>397.3356</v>
      </c>
      <c r="J43" s="3">
        <v>0.4945765</v>
      </c>
      <c r="K43" s="3">
        <v>406.622</v>
      </c>
      <c r="M43" s="3">
        <v>380.7741394042969</v>
      </c>
    </row>
    <row r="44" ht="12.0" customHeight="1">
      <c r="A44" s="6">
        <v>1899.5</v>
      </c>
      <c r="B44" s="3">
        <v>1.179927</v>
      </c>
      <c r="C44" s="6">
        <f t="shared" si="1"/>
        <v>18.98612102</v>
      </c>
      <c r="D44" s="3">
        <v>0.046664</v>
      </c>
      <c r="E44" s="6">
        <v>74901.4140625</v>
      </c>
      <c r="F44" s="6">
        <v>1.0</v>
      </c>
      <c r="G44" s="6">
        <v>5.9812</v>
      </c>
      <c r="H44" s="7">
        <v>0.0</v>
      </c>
      <c r="I44" s="3">
        <v>406.8687</v>
      </c>
      <c r="J44" s="3">
        <v>0.5062549</v>
      </c>
      <c r="K44" s="3">
        <v>410.0508</v>
      </c>
      <c r="M44" s="3">
        <v>383.9438171386719</v>
      </c>
    </row>
    <row r="45" ht="12.0" customHeight="1">
      <c r="A45" s="6">
        <v>1899.75</v>
      </c>
      <c r="B45" s="3">
        <v>1.215081</v>
      </c>
      <c r="C45" s="6">
        <f t="shared" si="1"/>
        <v>19.78004974</v>
      </c>
      <c r="D45" s="3">
        <v>0.0479606</v>
      </c>
      <c r="E45" s="6">
        <v>75226.6640625</v>
      </c>
      <c r="F45" s="6">
        <v>1.0</v>
      </c>
      <c r="G45" s="6">
        <v>5.507</v>
      </c>
      <c r="H45" s="7">
        <v>0.0</v>
      </c>
      <c r="I45" s="3">
        <v>412.4229</v>
      </c>
      <c r="J45" s="3">
        <v>0.5105044</v>
      </c>
      <c r="K45" s="3">
        <v>413.4845</v>
      </c>
      <c r="M45" s="3">
        <v>387.1398620605469</v>
      </c>
    </row>
    <row r="46" ht="12.0" customHeight="1">
      <c r="A46" s="6">
        <v>1900.0</v>
      </c>
      <c r="B46" s="3">
        <v>1.149512</v>
      </c>
      <c r="C46" s="6">
        <f t="shared" si="1"/>
        <v>19.68220581</v>
      </c>
      <c r="D46" s="3">
        <v>0.0481542</v>
      </c>
      <c r="E46" s="6">
        <v>75551.9140625</v>
      </c>
      <c r="F46" s="6">
        <v>1.0</v>
      </c>
      <c r="G46" s="6">
        <v>5.1656</v>
      </c>
      <c r="H46" s="7">
        <v>0.09</v>
      </c>
      <c r="I46" s="3">
        <v>408.7329</v>
      </c>
      <c r="J46" s="3">
        <v>0.533987</v>
      </c>
      <c r="K46" s="3">
        <v>416.9237</v>
      </c>
      <c r="M46" s="3">
        <v>390.53173828125</v>
      </c>
    </row>
    <row r="47" ht="12.0" customHeight="1">
      <c r="A47" s="6">
        <v>1900.25</v>
      </c>
      <c r="B47" s="3">
        <v>1.231556</v>
      </c>
      <c r="C47" s="6">
        <f t="shared" si="1"/>
        <v>19.43800011</v>
      </c>
      <c r="D47" s="3">
        <v>0.0472454</v>
      </c>
      <c r="E47" s="6">
        <v>75877.1640625</v>
      </c>
      <c r="F47" s="6">
        <v>1.0</v>
      </c>
      <c r="G47" s="6">
        <v>4.9624</v>
      </c>
      <c r="H47" s="7">
        <v>0.0</v>
      </c>
      <c r="I47" s="3">
        <v>411.4263</v>
      </c>
      <c r="J47" s="3">
        <v>0.5201731</v>
      </c>
      <c r="K47" s="3">
        <v>420.3688</v>
      </c>
      <c r="M47" s="3">
        <v>393.953369140625</v>
      </c>
    </row>
    <row r="48" ht="12.0" customHeight="1">
      <c r="A48" s="6">
        <v>1900.5</v>
      </c>
      <c r="B48" s="3">
        <v>1.345256</v>
      </c>
      <c r="C48" s="6">
        <f t="shared" si="1"/>
        <v>19.33177988</v>
      </c>
      <c r="D48" s="3">
        <v>0.0469896</v>
      </c>
      <c r="E48" s="6">
        <v>76218.1640625</v>
      </c>
      <c r="F48" s="6">
        <v>1.0</v>
      </c>
      <c r="G48" s="6">
        <v>4.8984</v>
      </c>
      <c r="H48" s="7">
        <v>0.0</v>
      </c>
      <c r="I48" s="3">
        <v>411.4055</v>
      </c>
      <c r="J48" s="3">
        <v>0.5148093</v>
      </c>
      <c r="K48" s="3">
        <v>423.8202</v>
      </c>
      <c r="M48" s="3">
        <v>397.4049377441406</v>
      </c>
    </row>
    <row r="49" ht="12.0" customHeight="1">
      <c r="A49" s="6">
        <v>1900.75</v>
      </c>
      <c r="B49" s="3">
        <v>1.362287</v>
      </c>
      <c r="C49" s="6">
        <f t="shared" si="1"/>
        <v>19.35493873</v>
      </c>
      <c r="D49" s="3">
        <v>0.0468982</v>
      </c>
      <c r="E49" s="6">
        <v>76590.6640625</v>
      </c>
      <c r="F49" s="6">
        <v>1.0</v>
      </c>
      <c r="G49" s="6">
        <v>4.9736</v>
      </c>
      <c r="H49" s="7">
        <v>0.0</v>
      </c>
      <c r="I49" s="3">
        <v>412.7011</v>
      </c>
      <c r="J49" s="3">
        <v>0.5317073</v>
      </c>
      <c r="K49" s="3">
        <v>427.2785</v>
      </c>
      <c r="M49" s="3">
        <v>400.88677978515625</v>
      </c>
    </row>
    <row r="50" ht="12.0" customHeight="1">
      <c r="A50" s="6">
        <v>1901.0</v>
      </c>
      <c r="B50" s="3">
        <v>1.344436</v>
      </c>
      <c r="C50" s="6">
        <f t="shared" si="1"/>
        <v>20.81855309</v>
      </c>
      <c r="D50" s="3">
        <v>0.0472074</v>
      </c>
      <c r="E50" s="6">
        <v>76963.1640625</v>
      </c>
      <c r="F50" s="6">
        <v>0.0</v>
      </c>
      <c r="G50" s="6">
        <v>4.1479</v>
      </c>
      <c r="H50" s="7">
        <v>0.0</v>
      </c>
      <c r="I50" s="3">
        <v>441.0019</v>
      </c>
      <c r="J50" s="3">
        <v>0.5391125</v>
      </c>
      <c r="K50" s="3">
        <v>430.744</v>
      </c>
      <c r="M50" s="3">
        <v>405.107421875</v>
      </c>
    </row>
    <row r="51" ht="12.0" customHeight="1">
      <c r="A51" s="6">
        <v>1901.25</v>
      </c>
      <c r="B51" s="3">
        <v>1.331855</v>
      </c>
      <c r="C51" s="6">
        <f t="shared" si="1"/>
        <v>21.70075305</v>
      </c>
      <c r="D51" s="3">
        <v>0.0470631</v>
      </c>
      <c r="E51" s="6">
        <v>77335.6640625</v>
      </c>
      <c r="F51" s="6">
        <v>0.0</v>
      </c>
      <c r="G51" s="6">
        <v>4.2305</v>
      </c>
      <c r="H51" s="7">
        <v>0.0</v>
      </c>
      <c r="I51" s="3">
        <v>461.0991</v>
      </c>
      <c r="J51" s="3">
        <v>0.5610786</v>
      </c>
      <c r="K51" s="3">
        <v>434.2177</v>
      </c>
      <c r="M51" s="3">
        <v>409.3725280761719</v>
      </c>
    </row>
    <row r="52" ht="12.0" customHeight="1">
      <c r="A52" s="6">
        <v>1901.5</v>
      </c>
      <c r="B52" s="3">
        <v>1.230965</v>
      </c>
      <c r="C52" s="6">
        <f t="shared" si="1"/>
        <v>22.15422572</v>
      </c>
      <c r="D52" s="3">
        <v>0.0477247</v>
      </c>
      <c r="E52" s="6">
        <v>77715.5859375</v>
      </c>
      <c r="F52" s="6">
        <v>0.0</v>
      </c>
      <c r="G52" s="6">
        <v>4.1813</v>
      </c>
      <c r="H52" s="7">
        <v>0.0</v>
      </c>
      <c r="I52" s="3">
        <v>464.2088</v>
      </c>
      <c r="J52" s="3">
        <v>0.5047607</v>
      </c>
      <c r="K52" s="3">
        <v>437.6994</v>
      </c>
      <c r="M52" s="3">
        <v>413.6825256347656</v>
      </c>
    </row>
    <row r="53" ht="12.0" customHeight="1">
      <c r="A53" s="6">
        <v>1901.75</v>
      </c>
      <c r="B53" s="3">
        <v>1.290008</v>
      </c>
      <c r="C53" s="6">
        <f t="shared" si="1"/>
        <v>22.54971334</v>
      </c>
      <c r="D53" s="3">
        <v>0.048234</v>
      </c>
      <c r="E53" s="6">
        <v>78110.3359375</v>
      </c>
      <c r="F53" s="6">
        <v>0.0</v>
      </c>
      <c r="G53" s="6">
        <v>4.0002</v>
      </c>
      <c r="H53" s="7">
        <v>0.37</v>
      </c>
      <c r="I53" s="3">
        <v>467.5066</v>
      </c>
      <c r="J53" s="3">
        <v>0.510652</v>
      </c>
      <c r="K53" s="3">
        <v>441.19</v>
      </c>
      <c r="M53" s="3">
        <v>418.0378723144531</v>
      </c>
    </row>
    <row r="54" ht="12.0" customHeight="1">
      <c r="A54" s="6">
        <v>1902.0</v>
      </c>
      <c r="B54" s="3">
        <v>1.330281</v>
      </c>
      <c r="C54" s="6">
        <f t="shared" si="1"/>
        <v>21.59025278</v>
      </c>
      <c r="D54" s="3">
        <v>0.0473084</v>
      </c>
      <c r="E54" s="6">
        <v>78505.0859375</v>
      </c>
      <c r="F54" s="6">
        <v>0.0</v>
      </c>
      <c r="G54" s="6">
        <v>3.7047</v>
      </c>
      <c r="H54" s="7">
        <v>0.0</v>
      </c>
      <c r="I54" s="3">
        <v>456.3725</v>
      </c>
      <c r="J54" s="3">
        <v>0.501307</v>
      </c>
      <c r="K54" s="3">
        <v>444.6899</v>
      </c>
      <c r="M54" s="3">
        <v>422.1817626953125</v>
      </c>
    </row>
    <row r="55" ht="12.0" customHeight="1">
      <c r="A55" s="6">
        <v>1902.25</v>
      </c>
      <c r="B55" s="3">
        <v>1.332648</v>
      </c>
      <c r="C55" s="6">
        <f t="shared" si="1"/>
        <v>21.88289798</v>
      </c>
      <c r="D55" s="3">
        <v>0.0477976</v>
      </c>
      <c r="E55" s="6">
        <v>78899.8359375</v>
      </c>
      <c r="F55" s="6">
        <v>0.0</v>
      </c>
      <c r="G55" s="6">
        <v>3.3777</v>
      </c>
      <c r="H55" s="7">
        <v>0.0</v>
      </c>
      <c r="I55" s="3">
        <v>457.8242</v>
      </c>
      <c r="J55" s="3">
        <v>0.5350655</v>
      </c>
      <c r="K55" s="3">
        <v>448.1999</v>
      </c>
      <c r="M55" s="3">
        <v>426.36669921875</v>
      </c>
    </row>
    <row r="56" ht="12.0" customHeight="1">
      <c r="A56" s="6">
        <v>1902.5</v>
      </c>
      <c r="B56" s="3">
        <v>1.449135</v>
      </c>
      <c r="C56" s="6">
        <f t="shared" si="1"/>
        <v>22.43755001</v>
      </c>
      <c r="D56" s="3">
        <v>0.0478695</v>
      </c>
      <c r="E56" s="6">
        <v>79285.4140625</v>
      </c>
      <c r="F56" s="6">
        <v>0.0</v>
      </c>
      <c r="G56" s="6">
        <v>3.0365</v>
      </c>
      <c r="H56" s="7">
        <v>0.0</v>
      </c>
      <c r="I56" s="3">
        <v>468.7233</v>
      </c>
      <c r="J56" s="3">
        <v>0.5258461</v>
      </c>
      <c r="K56" s="3">
        <v>451.7202</v>
      </c>
      <c r="M56" s="3">
        <v>430.5929260253906</v>
      </c>
    </row>
    <row r="57" ht="12.0" customHeight="1">
      <c r="A57" s="6">
        <v>1902.75</v>
      </c>
      <c r="B57" s="3">
        <v>1.488126</v>
      </c>
      <c r="C57" s="6">
        <f t="shared" si="1"/>
        <v>23.5810022</v>
      </c>
      <c r="D57" s="3">
        <v>0.0500789</v>
      </c>
      <c r="E57" s="6">
        <v>79652.6640625</v>
      </c>
      <c r="F57" s="6">
        <v>1.0</v>
      </c>
      <c r="G57" s="6">
        <v>3.6812</v>
      </c>
      <c r="H57" s="7">
        <v>0.0</v>
      </c>
      <c r="I57" s="3">
        <v>470.877</v>
      </c>
      <c r="J57" s="3">
        <v>0.5119513</v>
      </c>
      <c r="K57" s="3">
        <v>455.2515</v>
      </c>
      <c r="M57" s="3">
        <v>434.8612365722656</v>
      </c>
    </row>
    <row r="58" ht="12.0" customHeight="1">
      <c r="A58" s="6">
        <v>1903.0</v>
      </c>
      <c r="B58" s="3">
        <v>1.627034</v>
      </c>
      <c r="C58" s="6">
        <f t="shared" si="1"/>
        <v>24.72502009</v>
      </c>
      <c r="D58" s="3">
        <v>0.0504323</v>
      </c>
      <c r="E58" s="6">
        <v>80019.9140625</v>
      </c>
      <c r="F58" s="6">
        <v>1.0</v>
      </c>
      <c r="G58" s="6">
        <v>3.3569</v>
      </c>
      <c r="H58" s="7">
        <v>0.0</v>
      </c>
      <c r="I58" s="3">
        <v>490.2616</v>
      </c>
      <c r="J58" s="3">
        <v>0.5069877</v>
      </c>
      <c r="K58" s="3">
        <v>458.7943</v>
      </c>
      <c r="M58" s="3">
        <v>439.3482360839844</v>
      </c>
    </row>
    <row r="59" ht="12.0" customHeight="1">
      <c r="A59" s="6">
        <v>1903.25</v>
      </c>
      <c r="B59" s="3">
        <v>1.577314</v>
      </c>
      <c r="C59" s="6">
        <f t="shared" si="1"/>
        <v>24.73409816</v>
      </c>
      <c r="D59" s="3">
        <v>0.0492787</v>
      </c>
      <c r="E59" s="6">
        <v>80387.1640625</v>
      </c>
      <c r="F59" s="6">
        <v>1.0</v>
      </c>
      <c r="G59" s="6">
        <v>3.2784</v>
      </c>
      <c r="H59" s="7">
        <v>0.0</v>
      </c>
      <c r="I59" s="3">
        <v>501.9227</v>
      </c>
      <c r="J59" s="3">
        <v>0.507</v>
      </c>
      <c r="K59" s="3">
        <v>462.3493</v>
      </c>
      <c r="M59" s="3">
        <v>443.8813171386719</v>
      </c>
    </row>
    <row r="60" ht="12.0" customHeight="1">
      <c r="A60" s="6">
        <v>1903.5</v>
      </c>
      <c r="B60" s="3">
        <v>1.624679</v>
      </c>
      <c r="C60" s="6">
        <f t="shared" si="1"/>
        <v>24.73771852</v>
      </c>
      <c r="D60" s="3">
        <v>0.0492899</v>
      </c>
      <c r="E60" s="6">
        <v>80759.8359375</v>
      </c>
      <c r="F60" s="6">
        <v>1.0</v>
      </c>
      <c r="G60" s="6">
        <v>3.4907</v>
      </c>
      <c r="H60" s="7">
        <v>0.0</v>
      </c>
      <c r="I60" s="3">
        <v>501.8821</v>
      </c>
      <c r="J60" s="3">
        <v>0.5129177</v>
      </c>
      <c r="K60" s="3">
        <v>465.9169</v>
      </c>
      <c r="M60" s="3">
        <v>448.46136474609375</v>
      </c>
    </row>
    <row r="61" ht="12.0" customHeight="1">
      <c r="A61" s="6">
        <v>1903.75</v>
      </c>
      <c r="B61" s="3">
        <v>1.567955</v>
      </c>
      <c r="C61" s="6">
        <f t="shared" si="1"/>
        <v>23.60488857</v>
      </c>
      <c r="D61" s="3">
        <v>0.049076</v>
      </c>
      <c r="E61" s="6">
        <v>81143.3359375</v>
      </c>
      <c r="F61" s="6">
        <v>1.0</v>
      </c>
      <c r="G61" s="6">
        <v>3.994</v>
      </c>
      <c r="H61" s="7">
        <v>0.0</v>
      </c>
      <c r="I61" s="3">
        <v>480.9864</v>
      </c>
      <c r="J61" s="3">
        <v>0.4801252</v>
      </c>
      <c r="K61" s="3">
        <v>469.4977</v>
      </c>
      <c r="M61" s="3">
        <v>453.0887145996094</v>
      </c>
    </row>
    <row r="62" ht="12.0" customHeight="1">
      <c r="A62" s="6">
        <v>1904.0</v>
      </c>
      <c r="B62" s="3">
        <v>1.56388</v>
      </c>
      <c r="C62" s="6">
        <f t="shared" si="1"/>
        <v>23.73588745</v>
      </c>
      <c r="D62" s="3">
        <v>0.0504378</v>
      </c>
      <c r="E62" s="6">
        <v>81526.8359375</v>
      </c>
      <c r="F62" s="6">
        <v>1.0</v>
      </c>
      <c r="G62" s="6">
        <v>4.7068</v>
      </c>
      <c r="H62" s="7">
        <v>0.45</v>
      </c>
      <c r="I62" s="3">
        <v>470.5972</v>
      </c>
      <c r="J62" s="3">
        <v>0.4955239</v>
      </c>
      <c r="K62" s="3">
        <v>473.0922</v>
      </c>
      <c r="M62" s="3">
        <v>457.07562255859375</v>
      </c>
    </row>
    <row r="63" ht="12.0" customHeight="1">
      <c r="A63" s="6">
        <v>1904.25</v>
      </c>
      <c r="B63" s="3">
        <v>1.501359</v>
      </c>
      <c r="C63" s="6">
        <f t="shared" si="1"/>
        <v>22.9521284</v>
      </c>
      <c r="D63" s="3">
        <v>0.0494267</v>
      </c>
      <c r="E63" s="6">
        <v>81910.3359375</v>
      </c>
      <c r="F63" s="6">
        <v>1.0</v>
      </c>
      <c r="G63" s="6">
        <v>5.2431</v>
      </c>
      <c r="H63" s="7">
        <v>0.0</v>
      </c>
      <c r="I63" s="3">
        <v>464.367</v>
      </c>
      <c r="J63" s="3">
        <v>0.4865503</v>
      </c>
      <c r="K63" s="3">
        <v>476.7011</v>
      </c>
      <c r="M63" s="3">
        <v>461.0976257324219</v>
      </c>
    </row>
    <row r="64" ht="12.0" customHeight="1">
      <c r="A64" s="6">
        <v>1904.5</v>
      </c>
      <c r="B64" s="3">
        <v>1.563967</v>
      </c>
      <c r="C64" s="6">
        <f t="shared" si="1"/>
        <v>22.98778264</v>
      </c>
      <c r="D64" s="3">
        <v>0.04964</v>
      </c>
      <c r="E64" s="6">
        <v>82304.0</v>
      </c>
      <c r="F64" s="6">
        <v>1.0</v>
      </c>
      <c r="G64" s="6">
        <v>5.1881</v>
      </c>
      <c r="H64" s="7">
        <v>0.0</v>
      </c>
      <c r="I64" s="3">
        <v>463.0899</v>
      </c>
      <c r="J64" s="3">
        <v>0.4917878</v>
      </c>
      <c r="K64" s="3">
        <v>480.3252</v>
      </c>
      <c r="M64" s="3">
        <v>465.1552429199219</v>
      </c>
    </row>
    <row r="65" ht="12.0" customHeight="1">
      <c r="A65" s="6">
        <v>1904.75</v>
      </c>
      <c r="B65" s="3">
        <v>1.554996</v>
      </c>
      <c r="C65" s="6">
        <f t="shared" si="1"/>
        <v>24.1210636</v>
      </c>
      <c r="D65" s="3">
        <v>0.0504559</v>
      </c>
      <c r="E65" s="6">
        <v>82718.0</v>
      </c>
      <c r="F65" s="6">
        <v>0.0</v>
      </c>
      <c r="G65" s="6">
        <v>4.542</v>
      </c>
      <c r="H65" s="7">
        <v>0.0</v>
      </c>
      <c r="I65" s="3">
        <v>478.0623</v>
      </c>
      <c r="J65" s="3">
        <v>0.5006834</v>
      </c>
      <c r="K65" s="3">
        <v>483.9645</v>
      </c>
      <c r="M65" s="3">
        <v>469.2483215332031</v>
      </c>
    </row>
    <row r="66" ht="12.0" customHeight="1">
      <c r="A66" s="6">
        <v>1905.0</v>
      </c>
      <c r="B66" s="3">
        <v>1.630693</v>
      </c>
      <c r="C66" s="6">
        <f t="shared" si="1"/>
        <v>24.67076678</v>
      </c>
      <c r="D66" s="3">
        <v>0.0503008</v>
      </c>
      <c r="E66" s="6">
        <v>83132.0</v>
      </c>
      <c r="F66" s="6">
        <v>0.0</v>
      </c>
      <c r="G66" s="6">
        <v>4.3375</v>
      </c>
      <c r="H66" s="7">
        <v>0.0</v>
      </c>
      <c r="I66" s="3">
        <v>490.4647</v>
      </c>
      <c r="J66" s="3">
        <v>0.5046372</v>
      </c>
      <c r="K66" s="3">
        <v>487.6203</v>
      </c>
      <c r="M66" s="3">
        <v>473.4584655761719</v>
      </c>
    </row>
    <row r="67" ht="12.0" customHeight="1">
      <c r="A67" s="6">
        <v>1905.25</v>
      </c>
      <c r="B67" s="3">
        <v>1.671672</v>
      </c>
      <c r="C67" s="6">
        <f t="shared" si="1"/>
        <v>25.17091824</v>
      </c>
      <c r="D67" s="3">
        <v>0.0496352</v>
      </c>
      <c r="E67" s="6">
        <v>83546.0</v>
      </c>
      <c r="F67" s="6">
        <v>0.0</v>
      </c>
      <c r="G67" s="6">
        <v>4.0636</v>
      </c>
      <c r="H67" s="7">
        <v>0.0</v>
      </c>
      <c r="I67" s="3">
        <v>507.1183</v>
      </c>
      <c r="J67" s="3">
        <v>0.4889615</v>
      </c>
      <c r="K67" s="3">
        <v>491.2927</v>
      </c>
      <c r="M67" s="3">
        <v>477.7066345214844</v>
      </c>
    </row>
    <row r="68" ht="12.0" customHeight="1">
      <c r="A68" s="6">
        <v>1905.5</v>
      </c>
      <c r="B68" s="3">
        <v>1.801499</v>
      </c>
      <c r="C68" s="6">
        <f t="shared" si="1"/>
        <v>25.94276419</v>
      </c>
      <c r="D68" s="3">
        <v>0.0497096</v>
      </c>
      <c r="E68" s="6">
        <v>83957.6640625</v>
      </c>
      <c r="F68" s="6">
        <v>0.0</v>
      </c>
      <c r="G68" s="6">
        <v>3.753</v>
      </c>
      <c r="H68" s="7">
        <v>0.0</v>
      </c>
      <c r="I68" s="3">
        <v>521.8864</v>
      </c>
      <c r="J68" s="3">
        <v>0.5244069</v>
      </c>
      <c r="K68" s="3">
        <v>494.9826</v>
      </c>
      <c r="M68" s="3">
        <v>481.99267578125</v>
      </c>
    </row>
    <row r="69" ht="12.0" customHeight="1">
      <c r="A69" s="6">
        <v>1905.75</v>
      </c>
      <c r="B69" s="3">
        <v>1.809222</v>
      </c>
      <c r="C69" s="6">
        <f t="shared" si="1"/>
        <v>27.55812037</v>
      </c>
      <c r="D69" s="3">
        <v>0.0503148</v>
      </c>
      <c r="E69" s="6">
        <v>84364.6640625</v>
      </c>
      <c r="F69" s="6">
        <v>0.0</v>
      </c>
      <c r="G69" s="6">
        <v>3.4059</v>
      </c>
      <c r="H69" s="7">
        <v>0.0</v>
      </c>
      <c r="I69" s="3">
        <v>547.714</v>
      </c>
      <c r="J69" s="3">
        <v>0.5391158</v>
      </c>
      <c r="K69" s="3">
        <v>498.6902</v>
      </c>
      <c r="M69" s="3">
        <v>486.3171691894531</v>
      </c>
    </row>
    <row r="70" ht="12.0" customHeight="1">
      <c r="A70" s="6">
        <v>1906.0</v>
      </c>
      <c r="B70" s="3">
        <v>1.783964</v>
      </c>
      <c r="C70" s="6">
        <f t="shared" si="1"/>
        <v>29.24964235</v>
      </c>
      <c r="D70" s="3">
        <v>0.0509516</v>
      </c>
      <c r="E70" s="6">
        <v>84771.6640625</v>
      </c>
      <c r="F70" s="6">
        <v>0.0</v>
      </c>
      <c r="G70" s="6">
        <v>3.0275</v>
      </c>
      <c r="H70" s="7">
        <v>0.0</v>
      </c>
      <c r="I70" s="3">
        <v>574.0672</v>
      </c>
      <c r="J70" s="3">
        <v>0.563116</v>
      </c>
      <c r="K70" s="3">
        <v>502.4167</v>
      </c>
      <c r="M70" s="3">
        <v>490.6060791015625</v>
      </c>
    </row>
    <row r="71" ht="12.0" customHeight="1">
      <c r="A71" s="6">
        <v>1906.25</v>
      </c>
      <c r="B71" s="3">
        <v>1.750642</v>
      </c>
      <c r="C71" s="6">
        <f t="shared" si="1"/>
        <v>29.93686227</v>
      </c>
      <c r="D71" s="3">
        <v>0.0514309</v>
      </c>
      <c r="E71" s="6">
        <v>85178.6640625</v>
      </c>
      <c r="F71" s="6">
        <v>0.0</v>
      </c>
      <c r="G71" s="6">
        <v>2.643</v>
      </c>
      <c r="H71" s="7">
        <v>0.0</v>
      </c>
      <c r="I71" s="3">
        <v>582.0793</v>
      </c>
      <c r="J71" s="3">
        <v>0.5456251</v>
      </c>
      <c r="K71" s="3">
        <v>506.1622</v>
      </c>
      <c r="M71" s="3">
        <v>494.93255615234375</v>
      </c>
    </row>
    <row r="72" ht="12.0" customHeight="1">
      <c r="A72" s="6">
        <v>1906.5</v>
      </c>
      <c r="B72" s="3">
        <v>1.848772</v>
      </c>
      <c r="C72" s="6">
        <f t="shared" si="1"/>
        <v>30.34958147</v>
      </c>
      <c r="D72" s="3">
        <v>0.0512413</v>
      </c>
      <c r="E72" s="6">
        <v>85579.8359375</v>
      </c>
      <c r="F72" s="6">
        <v>0.0</v>
      </c>
      <c r="G72" s="6">
        <v>2.2578</v>
      </c>
      <c r="H72" s="7">
        <v>0.0</v>
      </c>
      <c r="I72" s="3">
        <v>592.2875</v>
      </c>
      <c r="J72" s="3">
        <v>0.5702954</v>
      </c>
      <c r="K72" s="3">
        <v>509.9278</v>
      </c>
      <c r="M72" s="3">
        <v>499.2972106933594</v>
      </c>
    </row>
    <row r="73" ht="12.0" customHeight="1">
      <c r="A73" s="6">
        <v>1906.75</v>
      </c>
      <c r="B73" s="3">
        <v>1.950742</v>
      </c>
      <c r="C73" s="6">
        <f t="shared" si="1"/>
        <v>31.99963568</v>
      </c>
      <c r="D73" s="3">
        <v>0.0529288</v>
      </c>
      <c r="E73" s="6">
        <v>85969.3359375</v>
      </c>
      <c r="F73" s="6">
        <v>0.0</v>
      </c>
      <c r="G73" s="6">
        <v>1.8717</v>
      </c>
      <c r="H73" s="7">
        <v>0.0</v>
      </c>
      <c r="I73" s="3">
        <v>604.5789</v>
      </c>
      <c r="J73" s="3">
        <v>0.6087481</v>
      </c>
      <c r="K73" s="3">
        <v>513.7138</v>
      </c>
      <c r="M73" s="3">
        <v>503.7005920410156</v>
      </c>
    </row>
    <row r="74" ht="12.0" customHeight="1">
      <c r="A74" s="6">
        <v>1907.0</v>
      </c>
      <c r="B74" s="3">
        <v>1.978513</v>
      </c>
      <c r="C74" s="6">
        <f t="shared" si="1"/>
        <v>31.96964126</v>
      </c>
      <c r="D74" s="3">
        <v>0.0533154</v>
      </c>
      <c r="E74" s="6">
        <v>86358.8359375</v>
      </c>
      <c r="F74" s="6">
        <v>0.0</v>
      </c>
      <c r="G74" s="6">
        <v>1.5736</v>
      </c>
      <c r="H74" s="7">
        <v>0.0</v>
      </c>
      <c r="I74" s="3">
        <v>599.6324</v>
      </c>
      <c r="J74" s="3">
        <v>0.6198444</v>
      </c>
      <c r="K74" s="3">
        <v>517.5208</v>
      </c>
      <c r="M74" s="3">
        <v>508.4360656738281</v>
      </c>
    </row>
    <row r="75" ht="12.0" customHeight="1">
      <c r="A75" s="6">
        <v>1907.25</v>
      </c>
      <c r="B75" s="3">
        <v>2.100919</v>
      </c>
      <c r="C75" s="6">
        <f t="shared" si="1"/>
        <v>32.01419089</v>
      </c>
      <c r="D75" s="3">
        <v>0.053845</v>
      </c>
      <c r="E75" s="6">
        <v>86748.3359375</v>
      </c>
      <c r="F75" s="6">
        <v>1.0</v>
      </c>
      <c r="G75" s="6">
        <v>2.1174</v>
      </c>
      <c r="H75" s="7">
        <v>0.0</v>
      </c>
      <c r="I75" s="3">
        <v>594.562</v>
      </c>
      <c r="J75" s="3">
        <v>0.6325871</v>
      </c>
      <c r="K75" s="3">
        <v>521.3497</v>
      </c>
      <c r="M75" s="3">
        <v>513.216064453125</v>
      </c>
    </row>
    <row r="76" ht="12.0" customHeight="1">
      <c r="A76" s="6">
        <v>1907.5</v>
      </c>
      <c r="B76" s="3">
        <v>2.271497</v>
      </c>
      <c r="C76" s="6">
        <f t="shared" si="1"/>
        <v>31.5513149</v>
      </c>
      <c r="D76" s="3">
        <v>0.054516</v>
      </c>
      <c r="E76" s="6">
        <v>87149.8359375</v>
      </c>
      <c r="F76" s="6">
        <v>1.0</v>
      </c>
      <c r="G76" s="6">
        <v>3.5919</v>
      </c>
      <c r="H76" s="7">
        <v>0.0</v>
      </c>
      <c r="I76" s="3">
        <v>578.7533</v>
      </c>
      <c r="J76" s="3">
        <v>0.5969794</v>
      </c>
      <c r="K76" s="3">
        <v>525.201</v>
      </c>
      <c r="M76" s="3">
        <v>518.0409545898438</v>
      </c>
    </row>
    <row r="77" ht="12.0" customHeight="1">
      <c r="A77" s="6">
        <v>1907.75</v>
      </c>
      <c r="B77" s="3">
        <v>2.210071</v>
      </c>
      <c r="C77" s="6">
        <f t="shared" si="1"/>
        <v>28.93640229</v>
      </c>
      <c r="D77" s="3">
        <v>0.0539794</v>
      </c>
      <c r="E77" s="6">
        <v>87575.3359375</v>
      </c>
      <c r="F77" s="6">
        <v>1.0</v>
      </c>
      <c r="G77" s="6">
        <v>4.9971</v>
      </c>
      <c r="H77" s="7">
        <v>0.0</v>
      </c>
      <c r="I77" s="3">
        <v>536.0638</v>
      </c>
      <c r="J77" s="3">
        <v>0.5524332</v>
      </c>
      <c r="K77" s="3">
        <v>529.0752</v>
      </c>
      <c r="M77" s="3">
        <v>522.9112548828125</v>
      </c>
    </row>
    <row r="78" ht="12.0" customHeight="1">
      <c r="A78" s="6">
        <v>1908.0</v>
      </c>
      <c r="B78" s="3">
        <v>2.51495</v>
      </c>
      <c r="C78" s="6">
        <f t="shared" si="1"/>
        <v>25.88877805</v>
      </c>
      <c r="D78" s="3">
        <v>0.0525107</v>
      </c>
      <c r="E78" s="6">
        <v>88000.8359375</v>
      </c>
      <c r="F78" s="6">
        <v>1.0</v>
      </c>
      <c r="G78" s="6">
        <v>6.8017</v>
      </c>
      <c r="H78" s="7">
        <v>0.0</v>
      </c>
      <c r="I78" s="3">
        <v>493.0191</v>
      </c>
      <c r="J78" s="3">
        <v>0.5489714</v>
      </c>
      <c r="K78" s="3">
        <v>532.9734</v>
      </c>
      <c r="M78" s="3">
        <v>526.9627685546875</v>
      </c>
    </row>
    <row r="79" ht="12.0" customHeight="1">
      <c r="A79" s="6">
        <v>1908.25</v>
      </c>
      <c r="B79" s="3">
        <v>2.472532</v>
      </c>
      <c r="C79" s="6">
        <f t="shared" si="1"/>
        <v>25.83245133</v>
      </c>
      <c r="D79" s="3">
        <v>0.0528906</v>
      </c>
      <c r="E79" s="6">
        <v>88426.3359375</v>
      </c>
      <c r="F79" s="6">
        <v>1.0</v>
      </c>
      <c r="G79" s="6">
        <v>8.066</v>
      </c>
      <c r="H79" s="7">
        <v>0.0</v>
      </c>
      <c r="I79" s="3">
        <v>488.4129</v>
      </c>
      <c r="J79" s="3">
        <v>0.4994358</v>
      </c>
      <c r="K79" s="3">
        <v>536.8959</v>
      </c>
      <c r="M79" s="3">
        <v>531.0458984375</v>
      </c>
    </row>
    <row r="80" ht="12.0" customHeight="1">
      <c r="A80" s="6">
        <v>1908.5</v>
      </c>
      <c r="B80" s="3">
        <v>2.247686</v>
      </c>
      <c r="C80" s="6">
        <f t="shared" si="1"/>
        <v>26.51831742</v>
      </c>
      <c r="D80" s="3">
        <v>0.0530204</v>
      </c>
      <c r="E80" s="6">
        <v>88858.3359375</v>
      </c>
      <c r="F80" s="6">
        <v>0.0</v>
      </c>
      <c r="G80" s="6">
        <v>7.5922</v>
      </c>
      <c r="H80" s="7">
        <v>0.0</v>
      </c>
      <c r="I80" s="3">
        <v>500.1531</v>
      </c>
      <c r="J80" s="3">
        <v>0.5253592</v>
      </c>
      <c r="K80" s="3">
        <v>540.8435</v>
      </c>
      <c r="M80" s="3">
        <v>535.16064453125</v>
      </c>
    </row>
    <row r="81" ht="12.0" customHeight="1">
      <c r="A81" s="6">
        <v>1908.75</v>
      </c>
      <c r="B81" s="3">
        <v>2.308242</v>
      </c>
      <c r="C81" s="6">
        <f t="shared" si="1"/>
        <v>27.65261757</v>
      </c>
      <c r="D81" s="3">
        <v>0.0528394</v>
      </c>
      <c r="E81" s="6">
        <v>89303.3359375</v>
      </c>
      <c r="F81" s="6">
        <v>0.0</v>
      </c>
      <c r="G81" s="6">
        <v>7.3801</v>
      </c>
      <c r="H81" s="7">
        <v>0.0</v>
      </c>
      <c r="I81" s="3">
        <v>523.3333</v>
      </c>
      <c r="J81" s="3">
        <v>0.5370301</v>
      </c>
      <c r="K81" s="3">
        <v>544.8167</v>
      </c>
      <c r="M81" s="3">
        <v>539.3070678710938</v>
      </c>
    </row>
    <row r="82" ht="12.0" customHeight="1">
      <c r="A82" s="6">
        <v>1909.0</v>
      </c>
      <c r="B82" s="3">
        <v>2.288315</v>
      </c>
      <c r="C82" s="6">
        <f t="shared" si="1"/>
        <v>29.04918487</v>
      </c>
      <c r="D82" s="3">
        <v>0.0520606</v>
      </c>
      <c r="E82" s="6">
        <v>89748.3359375</v>
      </c>
      <c r="F82" s="6">
        <v>0.0</v>
      </c>
      <c r="G82" s="6">
        <v>6.5693</v>
      </c>
      <c r="H82" s="7">
        <v>0.0</v>
      </c>
      <c r="I82" s="3">
        <v>557.9879</v>
      </c>
      <c r="J82" s="3">
        <v>0.5701708</v>
      </c>
      <c r="K82" s="3">
        <v>548.8162</v>
      </c>
      <c r="M82" s="3">
        <v>543.447998046875</v>
      </c>
    </row>
    <row r="83" ht="12.0" customHeight="1">
      <c r="A83" s="6">
        <v>1909.25</v>
      </c>
      <c r="B83" s="3">
        <v>2.166866</v>
      </c>
      <c r="C83" s="6">
        <f t="shared" si="1"/>
        <v>30.46970845</v>
      </c>
      <c r="D83" s="3">
        <v>0.0525496</v>
      </c>
      <c r="E83" s="6">
        <v>90193.3359375</v>
      </c>
      <c r="F83" s="6">
        <v>0.0</v>
      </c>
      <c r="G83" s="6">
        <v>5.8215</v>
      </c>
      <c r="H83" s="7">
        <v>0.0</v>
      </c>
      <c r="I83" s="3">
        <v>579.8276</v>
      </c>
      <c r="J83" s="3">
        <v>0.5725613</v>
      </c>
      <c r="K83" s="3">
        <v>552.843</v>
      </c>
      <c r="M83" s="3">
        <v>547.6207885742188</v>
      </c>
    </row>
    <row r="84" ht="12.0" customHeight="1">
      <c r="A84" s="6">
        <v>1909.5</v>
      </c>
      <c r="B84" s="3">
        <v>2.139647</v>
      </c>
      <c r="C84" s="6">
        <f t="shared" si="1"/>
        <v>31.50975968</v>
      </c>
      <c r="D84" s="3">
        <v>0.0527848</v>
      </c>
      <c r="E84" s="6">
        <v>90649.75</v>
      </c>
      <c r="F84" s="6">
        <v>0.0</v>
      </c>
      <c r="G84" s="6">
        <v>5.2761</v>
      </c>
      <c r="H84" s="7">
        <v>0.0</v>
      </c>
      <c r="I84" s="3">
        <v>596.9476</v>
      </c>
      <c r="J84" s="3">
        <v>0.591301</v>
      </c>
      <c r="K84" s="3">
        <v>556.8974</v>
      </c>
      <c r="M84" s="3">
        <v>551.8255615234375</v>
      </c>
    </row>
    <row r="85" ht="12.0" customHeight="1">
      <c r="A85" s="6">
        <v>1909.75</v>
      </c>
      <c r="B85" s="3">
        <v>2.115571</v>
      </c>
      <c r="C85" s="6">
        <f t="shared" si="1"/>
        <v>32.6913397</v>
      </c>
      <c r="D85" s="3">
        <v>0.05418</v>
      </c>
      <c r="E85" s="6">
        <v>91129.0</v>
      </c>
      <c r="F85" s="6">
        <v>0.0</v>
      </c>
      <c r="G85" s="6">
        <v>4.933</v>
      </c>
      <c r="H85" s="7">
        <v>0.0</v>
      </c>
      <c r="I85" s="3">
        <v>603.3839</v>
      </c>
      <c r="J85" s="3">
        <v>0.6186895</v>
      </c>
      <c r="K85" s="3">
        <v>560.9802</v>
      </c>
      <c r="M85" s="3">
        <v>556.0626220703125</v>
      </c>
    </row>
    <row r="86" ht="12.0" customHeight="1">
      <c r="A86" s="6">
        <v>1910.0</v>
      </c>
      <c r="B86" s="3">
        <v>2.125752</v>
      </c>
      <c r="C86" s="6">
        <f t="shared" si="1"/>
        <v>32.55825798</v>
      </c>
      <c r="D86" s="3">
        <v>0.0549506</v>
      </c>
      <c r="E86" s="6">
        <v>91608.25</v>
      </c>
      <c r="F86" s="6">
        <v>1.0</v>
      </c>
      <c r="G86" s="6">
        <v>5.451</v>
      </c>
      <c r="H86" s="7">
        <v>0.0</v>
      </c>
      <c r="I86" s="3">
        <v>592.5005</v>
      </c>
      <c r="J86" s="3">
        <v>0.6386585</v>
      </c>
      <c r="K86" s="3">
        <v>565.0922</v>
      </c>
      <c r="M86" s="3">
        <v>559.669677734375</v>
      </c>
    </row>
    <row r="87" ht="12.0" customHeight="1">
      <c r="A87" s="6">
        <v>1910.25</v>
      </c>
      <c r="B87" s="3">
        <v>2.294615</v>
      </c>
      <c r="C87" s="6">
        <f t="shared" si="1"/>
        <v>32.13997323</v>
      </c>
      <c r="D87" s="3">
        <v>0.0555538</v>
      </c>
      <c r="E87" s="6">
        <v>92087.5</v>
      </c>
      <c r="F87" s="6">
        <v>1.0</v>
      </c>
      <c r="G87" s="6">
        <v>5.7916</v>
      </c>
      <c r="H87" s="7">
        <v>0.0</v>
      </c>
      <c r="I87" s="3">
        <v>578.5378</v>
      </c>
      <c r="J87" s="3">
        <v>0.6193346</v>
      </c>
      <c r="K87" s="3">
        <v>569.2341</v>
      </c>
      <c r="M87" s="3">
        <v>563.3002319335938</v>
      </c>
    </row>
    <row r="88" ht="12.0" customHeight="1">
      <c r="A88" s="6">
        <v>1910.5</v>
      </c>
      <c r="B88" s="3">
        <v>2.378508</v>
      </c>
      <c r="C88" s="6">
        <f t="shared" si="1"/>
        <v>31.63662499</v>
      </c>
      <c r="D88" s="3">
        <v>0.0553754</v>
      </c>
      <c r="E88" s="6">
        <v>92528.3359375</v>
      </c>
      <c r="F88" s="6">
        <v>1.0</v>
      </c>
      <c r="G88" s="6">
        <v>5.947</v>
      </c>
      <c r="H88" s="7">
        <v>0.0</v>
      </c>
      <c r="I88" s="3">
        <v>571.3119</v>
      </c>
      <c r="J88" s="3">
        <v>0.6296398</v>
      </c>
      <c r="K88" s="3">
        <v>573.4063</v>
      </c>
      <c r="M88" s="3">
        <v>566.9539794921875</v>
      </c>
    </row>
    <row r="89" ht="12.0" customHeight="1">
      <c r="A89" s="6">
        <v>1910.75</v>
      </c>
      <c r="B89" s="3">
        <v>2.441209</v>
      </c>
      <c r="C89" s="6">
        <f t="shared" si="1"/>
        <v>31.14875504</v>
      </c>
      <c r="D89" s="3">
        <v>0.0541709</v>
      </c>
      <c r="E89" s="6">
        <v>92892.3359375</v>
      </c>
      <c r="F89" s="6">
        <v>1.0</v>
      </c>
      <c r="G89" s="6">
        <v>6.2504</v>
      </c>
      <c r="H89" s="7">
        <v>0.0</v>
      </c>
      <c r="I89" s="3">
        <v>575.009</v>
      </c>
      <c r="J89" s="3">
        <v>0.6413297</v>
      </c>
      <c r="K89" s="3">
        <v>577.6099</v>
      </c>
      <c r="M89" s="3">
        <v>570.6317138671875</v>
      </c>
    </row>
    <row r="90" ht="12.0" customHeight="1">
      <c r="A90" s="6">
        <v>1911.0</v>
      </c>
      <c r="B90" s="3">
        <v>2.617548</v>
      </c>
      <c r="C90" s="6">
        <f t="shared" si="1"/>
        <v>32.02628309</v>
      </c>
      <c r="D90" s="3">
        <v>0.0544244</v>
      </c>
      <c r="E90" s="6">
        <v>93256.3359375</v>
      </c>
      <c r="F90" s="6">
        <v>1.0</v>
      </c>
      <c r="G90" s="6">
        <v>6.661</v>
      </c>
      <c r="H90" s="7">
        <v>0.0</v>
      </c>
      <c r="I90" s="3">
        <v>588.4545</v>
      </c>
      <c r="J90" s="3">
        <v>0.6403763</v>
      </c>
      <c r="K90" s="3">
        <v>581.8451</v>
      </c>
      <c r="M90" s="3">
        <v>573.1921997070312</v>
      </c>
    </row>
    <row r="91" ht="12.0" customHeight="1">
      <c r="A91" s="6">
        <v>1911.25</v>
      </c>
      <c r="B91" s="3">
        <v>2.767799</v>
      </c>
      <c r="C91" s="6">
        <f t="shared" si="1"/>
        <v>32.2398283</v>
      </c>
      <c r="D91" s="3">
        <v>0.0540084</v>
      </c>
      <c r="E91" s="6">
        <v>93620.3359375</v>
      </c>
      <c r="F91" s="6">
        <v>1.0</v>
      </c>
      <c r="G91" s="6">
        <v>6.9852</v>
      </c>
      <c r="H91" s="7">
        <v>0.0</v>
      </c>
      <c r="I91" s="3">
        <v>596.941</v>
      </c>
      <c r="J91" s="3">
        <v>0.6515603</v>
      </c>
      <c r="K91" s="3">
        <v>586.1131</v>
      </c>
      <c r="M91" s="3">
        <v>575.76416015625</v>
      </c>
    </row>
    <row r="92" ht="12.0" customHeight="1">
      <c r="A92" s="6">
        <v>1911.5</v>
      </c>
      <c r="B92" s="3">
        <v>2.820075</v>
      </c>
      <c r="C92" s="6">
        <f t="shared" si="1"/>
        <v>33.58537572</v>
      </c>
      <c r="D92" s="3">
        <v>0.0555954</v>
      </c>
      <c r="E92" s="6">
        <v>93985.6640625</v>
      </c>
      <c r="F92" s="6">
        <v>1.0</v>
      </c>
      <c r="G92" s="6">
        <v>7.1821</v>
      </c>
      <c r="H92" s="7">
        <v>0.0</v>
      </c>
      <c r="I92" s="3">
        <v>604.1035</v>
      </c>
      <c r="J92" s="3">
        <v>0.6095583</v>
      </c>
      <c r="K92" s="3">
        <v>590.4144</v>
      </c>
      <c r="M92" s="3">
        <v>578.34765625</v>
      </c>
    </row>
    <row r="93" ht="12.0" customHeight="1">
      <c r="A93" s="6">
        <v>1911.75</v>
      </c>
      <c r="B93" s="3">
        <v>2.949682</v>
      </c>
      <c r="C93" s="6">
        <f t="shared" si="1"/>
        <v>33.74468852</v>
      </c>
      <c r="D93" s="3">
        <v>0.0557085</v>
      </c>
      <c r="E93" s="6">
        <v>94353.6640625</v>
      </c>
      <c r="F93" s="6">
        <v>1.0</v>
      </c>
      <c r="G93" s="6">
        <v>7.2517</v>
      </c>
      <c r="H93" s="7">
        <v>0.0</v>
      </c>
      <c r="I93" s="3">
        <v>605.7368</v>
      </c>
      <c r="J93" s="3">
        <v>0.6293935</v>
      </c>
      <c r="K93" s="3">
        <v>594.7497</v>
      </c>
      <c r="M93" s="3">
        <v>580.9426879882812</v>
      </c>
    </row>
    <row r="94" ht="12.0" customHeight="1">
      <c r="A94" s="6">
        <v>1912.0</v>
      </c>
      <c r="B94" s="3">
        <v>2.894517</v>
      </c>
      <c r="C94" s="6">
        <f t="shared" si="1"/>
        <v>33.92280494</v>
      </c>
      <c r="D94" s="3">
        <v>0.0554617</v>
      </c>
      <c r="E94" s="6">
        <v>94721.6640625</v>
      </c>
      <c r="F94" s="6">
        <v>1.0</v>
      </c>
      <c r="G94" s="6">
        <v>6.5267</v>
      </c>
      <c r="H94" s="7">
        <v>0.0</v>
      </c>
      <c r="I94" s="3">
        <v>611.6438</v>
      </c>
      <c r="J94" s="3">
        <v>0.6665545</v>
      </c>
      <c r="K94" s="3">
        <v>599.1198</v>
      </c>
      <c r="M94" s="3">
        <v>582.5382690429688</v>
      </c>
    </row>
    <row r="95" ht="12.0" customHeight="1">
      <c r="A95" s="6">
        <v>1912.25</v>
      </c>
      <c r="B95" s="3">
        <v>2.764483</v>
      </c>
      <c r="C95" s="6">
        <f t="shared" si="1"/>
        <v>35.13616273</v>
      </c>
      <c r="D95" s="3">
        <v>0.0566345</v>
      </c>
      <c r="E95" s="6">
        <v>95089.6640625</v>
      </c>
      <c r="F95" s="6">
        <v>0.0</v>
      </c>
      <c r="G95" s="6">
        <v>6.0036</v>
      </c>
      <c r="H95" s="7">
        <v>0.0</v>
      </c>
      <c r="I95" s="3">
        <v>620.4021</v>
      </c>
      <c r="J95" s="3">
        <v>0.6245422</v>
      </c>
      <c r="K95" s="3">
        <v>603.5254</v>
      </c>
      <c r="M95" s="3">
        <v>584.1382446289062</v>
      </c>
    </row>
    <row r="96" ht="12.0" customHeight="1">
      <c r="A96" s="6">
        <v>1912.5</v>
      </c>
      <c r="B96" s="3">
        <v>2.879007</v>
      </c>
      <c r="C96" s="6">
        <f t="shared" si="1"/>
        <v>35.58497075</v>
      </c>
      <c r="D96" s="3">
        <v>0.056357</v>
      </c>
      <c r="E96" s="6">
        <v>95492.5</v>
      </c>
      <c r="F96" s="6">
        <v>0.0</v>
      </c>
      <c r="G96" s="6">
        <v>5.6818</v>
      </c>
      <c r="H96" s="7">
        <v>0.0</v>
      </c>
      <c r="I96" s="3">
        <v>631.4206</v>
      </c>
      <c r="J96" s="3">
        <v>0.6442056</v>
      </c>
      <c r="K96" s="3">
        <v>607.9669</v>
      </c>
      <c r="M96" s="3">
        <v>585.7426147460938</v>
      </c>
    </row>
    <row r="97" ht="12.0" customHeight="1">
      <c r="A97" s="6">
        <v>1912.75</v>
      </c>
      <c r="B97" s="3">
        <v>2.911369</v>
      </c>
      <c r="C97" s="6">
        <f t="shared" si="1"/>
        <v>36.60080196</v>
      </c>
      <c r="D97" s="3">
        <v>0.0566199</v>
      </c>
      <c r="E97" s="6">
        <v>95965.0</v>
      </c>
      <c r="F97" s="6">
        <v>0.0</v>
      </c>
      <c r="G97" s="6">
        <v>5.2279</v>
      </c>
      <c r="H97" s="7">
        <v>0.0</v>
      </c>
      <c r="I97" s="3">
        <v>646.43</v>
      </c>
      <c r="J97" s="3">
        <v>0.6714894</v>
      </c>
      <c r="K97" s="3">
        <v>612.4458</v>
      </c>
      <c r="M97" s="3">
        <v>587.3513793945312</v>
      </c>
    </row>
    <row r="98" ht="12.0" customHeight="1">
      <c r="A98" s="6">
        <v>1913.0</v>
      </c>
      <c r="B98" s="3">
        <v>2.790915</v>
      </c>
      <c r="C98" s="6">
        <f t="shared" si="1"/>
        <v>36.94585405</v>
      </c>
      <c r="D98" s="3">
        <v>0.056469</v>
      </c>
      <c r="E98" s="6">
        <v>96437.5</v>
      </c>
      <c r="F98" s="6">
        <v>1.0</v>
      </c>
      <c r="G98" s="6">
        <v>5.3863</v>
      </c>
      <c r="H98" s="7">
        <v>0.0</v>
      </c>
      <c r="I98" s="3">
        <v>654.2679</v>
      </c>
      <c r="J98" s="3">
        <v>0.6900711</v>
      </c>
      <c r="K98" s="3">
        <v>616.9621</v>
      </c>
      <c r="M98" s="3">
        <v>590.4016723632812</v>
      </c>
    </row>
    <row r="99" ht="12.0" customHeight="1">
      <c r="A99" s="6">
        <v>1913.25</v>
      </c>
      <c r="B99" s="3">
        <v>2.871685</v>
      </c>
      <c r="C99" s="6">
        <f t="shared" si="1"/>
        <v>36.81588153</v>
      </c>
      <c r="D99" s="3">
        <v>0.056178</v>
      </c>
      <c r="E99" s="6">
        <v>96910.0</v>
      </c>
      <c r="F99" s="6">
        <v>1.0</v>
      </c>
      <c r="G99" s="6">
        <v>5.5267</v>
      </c>
      <c r="H99" s="7">
        <v>0.0</v>
      </c>
      <c r="I99" s="3">
        <v>655.3434</v>
      </c>
      <c r="J99" s="3">
        <v>0.6009502</v>
      </c>
      <c r="K99" s="3">
        <v>621.5167</v>
      </c>
      <c r="M99" s="3">
        <v>593.467529296875</v>
      </c>
    </row>
    <row r="100" ht="12.0" customHeight="1">
      <c r="A100" s="6">
        <v>1913.5</v>
      </c>
      <c r="B100" s="3">
        <v>2.756959</v>
      </c>
      <c r="C100" s="6">
        <f t="shared" si="1"/>
        <v>37.49305436</v>
      </c>
      <c r="D100" s="3">
        <v>0.0569514</v>
      </c>
      <c r="E100" s="6">
        <v>97382.1640625</v>
      </c>
      <c r="F100" s="6">
        <v>1.0</v>
      </c>
      <c r="G100" s="6">
        <v>5.7269</v>
      </c>
      <c r="H100" s="7">
        <v>0.0</v>
      </c>
      <c r="I100" s="3">
        <v>658.3342</v>
      </c>
      <c r="J100" s="3">
        <v>0.671248</v>
      </c>
      <c r="K100" s="3">
        <v>626.1103</v>
      </c>
      <c r="M100" s="3">
        <v>596.54931640625</v>
      </c>
    </row>
    <row r="101" ht="12.0" customHeight="1">
      <c r="A101" s="6">
        <v>1913.75</v>
      </c>
      <c r="B101" s="3">
        <v>2.817036</v>
      </c>
      <c r="C101" s="6">
        <f t="shared" si="1"/>
        <v>36.79116803</v>
      </c>
      <c r="D101" s="3">
        <v>0.0573583</v>
      </c>
      <c r="E101" s="6">
        <v>97853.6640625</v>
      </c>
      <c r="F101" s="6">
        <v>1.0</v>
      </c>
      <c r="G101" s="6">
        <v>6.3201</v>
      </c>
      <c r="H101" s="7">
        <v>0.0</v>
      </c>
      <c r="I101" s="3">
        <v>641.4271</v>
      </c>
      <c r="J101" s="3">
        <v>0.686083</v>
      </c>
      <c r="K101" s="3">
        <v>630.7439</v>
      </c>
      <c r="M101" s="3">
        <v>599.6473999023438</v>
      </c>
    </row>
    <row r="102" ht="12.0" customHeight="1">
      <c r="A102" s="6">
        <v>1914.0</v>
      </c>
      <c r="B102" s="3">
        <v>2.951163</v>
      </c>
      <c r="C102" s="6">
        <f t="shared" si="1"/>
        <v>35.37535424</v>
      </c>
      <c r="D102" s="3">
        <v>0.0569571</v>
      </c>
      <c r="E102" s="6">
        <v>98325.1640625</v>
      </c>
      <c r="F102" s="6">
        <v>1.0</v>
      </c>
      <c r="G102" s="6">
        <v>7.235</v>
      </c>
      <c r="H102" s="7">
        <v>0.0</v>
      </c>
      <c r="I102" s="3">
        <v>621.0877</v>
      </c>
      <c r="J102" s="3">
        <v>0.6473404</v>
      </c>
      <c r="K102" s="3">
        <v>635.4181</v>
      </c>
      <c r="M102" s="3">
        <v>602.8831176757812</v>
      </c>
    </row>
    <row r="103" ht="12.0" customHeight="1">
      <c r="A103" s="6">
        <v>1914.25</v>
      </c>
      <c r="B103" s="3">
        <v>2.969107</v>
      </c>
      <c r="C103" s="6">
        <f t="shared" si="1"/>
        <v>34.90727495</v>
      </c>
      <c r="D103" s="3">
        <v>0.0569215</v>
      </c>
      <c r="E103" s="6">
        <v>98796.6640625</v>
      </c>
      <c r="F103" s="6">
        <v>1.0</v>
      </c>
      <c r="G103" s="6">
        <v>8.1315</v>
      </c>
      <c r="H103" s="7">
        <v>0.0</v>
      </c>
      <c r="I103" s="3">
        <v>613.2529</v>
      </c>
      <c r="J103" s="3">
        <v>0.6422047</v>
      </c>
      <c r="K103" s="3">
        <v>640.1337</v>
      </c>
      <c r="M103" s="3">
        <v>606.1363525390625</v>
      </c>
    </row>
    <row r="104" ht="12.0" customHeight="1">
      <c r="A104" s="6">
        <v>1914.5</v>
      </c>
      <c r="B104" s="3">
        <v>3.109124</v>
      </c>
      <c r="C104" s="6">
        <f t="shared" si="1"/>
        <v>34.80149085</v>
      </c>
      <c r="D104" s="3">
        <v>0.0583481</v>
      </c>
      <c r="E104" s="6">
        <v>99230.5859375</v>
      </c>
      <c r="F104" s="6">
        <v>1.0</v>
      </c>
      <c r="G104" s="6">
        <v>8.9383</v>
      </c>
      <c r="H104" s="7">
        <v>0.0</v>
      </c>
      <c r="I104" s="3">
        <v>596.446</v>
      </c>
      <c r="J104" s="3">
        <v>0.6760969</v>
      </c>
      <c r="K104" s="3">
        <v>644.8914</v>
      </c>
      <c r="M104" s="3">
        <v>609.4071044921875</v>
      </c>
    </row>
    <row r="105" ht="12.0" customHeight="1">
      <c r="A105" s="6">
        <v>1914.75</v>
      </c>
      <c r="B105" s="3">
        <v>3.094539</v>
      </c>
      <c r="C105" s="6">
        <f t="shared" si="1"/>
        <v>33.11655374</v>
      </c>
      <c r="D105" s="3">
        <v>0.057869</v>
      </c>
      <c r="E105" s="6">
        <v>99589.3359375</v>
      </c>
      <c r="F105" s="6">
        <v>1.0</v>
      </c>
      <c r="G105" s="6">
        <v>9.6552</v>
      </c>
      <c r="H105" s="7">
        <v>0.0</v>
      </c>
      <c r="I105" s="3">
        <v>572.2676</v>
      </c>
      <c r="J105" s="3">
        <v>0.5721226</v>
      </c>
      <c r="K105" s="3">
        <v>649.6918</v>
      </c>
      <c r="M105" s="3">
        <v>612.695556640625</v>
      </c>
    </row>
    <row r="106" ht="12.0" customHeight="1">
      <c r="A106" s="6">
        <v>1915.0</v>
      </c>
      <c r="B106" s="3">
        <v>3.366754</v>
      </c>
      <c r="C106" s="6">
        <f t="shared" si="1"/>
        <v>34.35127392</v>
      </c>
      <c r="D106" s="3">
        <v>0.058694</v>
      </c>
      <c r="E106" s="6">
        <v>99948.0859375</v>
      </c>
      <c r="F106" s="6">
        <v>0.0</v>
      </c>
      <c r="G106" s="6">
        <v>9.2287</v>
      </c>
      <c r="H106" s="7">
        <v>0.0</v>
      </c>
      <c r="I106" s="3">
        <v>585.2604</v>
      </c>
      <c r="J106" s="3">
        <v>0.6586093</v>
      </c>
      <c r="K106" s="3">
        <v>654.5358</v>
      </c>
      <c r="M106" s="3">
        <v>615.6516723632812</v>
      </c>
    </row>
    <row r="107" ht="12.0" customHeight="1">
      <c r="A107" s="6">
        <v>1915.25</v>
      </c>
      <c r="B107" s="3">
        <v>3.226499</v>
      </c>
      <c r="C107" s="6">
        <f t="shared" si="1"/>
        <v>35.13706158</v>
      </c>
      <c r="D107" s="3">
        <v>0.0589129</v>
      </c>
      <c r="E107" s="6">
        <v>100306.8359375</v>
      </c>
      <c r="F107" s="6">
        <v>0.0</v>
      </c>
      <c r="G107" s="6">
        <v>9.4041</v>
      </c>
      <c r="H107" s="7">
        <v>0.0</v>
      </c>
      <c r="I107" s="3">
        <v>596.4239</v>
      </c>
      <c r="J107" s="3">
        <v>0.586711</v>
      </c>
      <c r="K107" s="3">
        <v>659.4244</v>
      </c>
      <c r="M107" s="3">
        <v>618.6220703125</v>
      </c>
    </row>
    <row r="108" ht="12.0" customHeight="1">
      <c r="A108" s="6">
        <v>1915.5</v>
      </c>
      <c r="B108" s="3">
        <v>2.948491</v>
      </c>
      <c r="C108" s="6">
        <f t="shared" si="1"/>
        <v>36.36791681</v>
      </c>
      <c r="D108" s="3">
        <v>0.0585075</v>
      </c>
      <c r="E108" s="6">
        <v>100663.9140625</v>
      </c>
      <c r="F108" s="6">
        <v>0.0</v>
      </c>
      <c r="G108" s="6">
        <v>9.1277</v>
      </c>
      <c r="H108" s="7">
        <v>0.0</v>
      </c>
      <c r="I108" s="3">
        <v>621.5941</v>
      </c>
      <c r="J108" s="3">
        <v>0.6267857</v>
      </c>
      <c r="K108" s="3">
        <v>664.3577</v>
      </c>
      <c r="M108" s="3">
        <v>621.6068115234375</v>
      </c>
    </row>
    <row r="109" ht="12.0" customHeight="1">
      <c r="A109" s="6">
        <v>1915.75</v>
      </c>
      <c r="B109" s="3">
        <v>3.17073</v>
      </c>
      <c r="C109" s="6">
        <f t="shared" si="1"/>
        <v>39.5795458</v>
      </c>
      <c r="D109" s="3">
        <v>0.0596318</v>
      </c>
      <c r="E109" s="6">
        <v>101017.6640625</v>
      </c>
      <c r="F109" s="6">
        <v>0.0</v>
      </c>
      <c r="G109" s="6">
        <v>8.3995</v>
      </c>
      <c r="H109" s="7">
        <v>0.89</v>
      </c>
      <c r="I109" s="3">
        <v>663.7322</v>
      </c>
      <c r="J109" s="3">
        <v>0.708137</v>
      </c>
      <c r="K109" s="3">
        <v>669.3373</v>
      </c>
      <c r="M109" s="3">
        <v>624.6058959960938</v>
      </c>
    </row>
    <row r="110" ht="12.0" customHeight="1">
      <c r="A110" s="6">
        <v>1916.0</v>
      </c>
      <c r="B110" s="3">
        <v>3.415189</v>
      </c>
      <c r="C110" s="6">
        <f t="shared" si="1"/>
        <v>43.46166741</v>
      </c>
      <c r="D110" s="3">
        <v>0.0624299</v>
      </c>
      <c r="E110" s="6">
        <v>101371.4140625</v>
      </c>
      <c r="F110" s="6">
        <v>0.0</v>
      </c>
      <c r="G110" s="6">
        <v>7.3404</v>
      </c>
      <c r="H110" s="7">
        <v>0.0</v>
      </c>
      <c r="I110" s="3">
        <v>696.1675</v>
      </c>
      <c r="J110" s="3">
        <v>0.7743548</v>
      </c>
      <c r="K110" s="3">
        <v>674.3634</v>
      </c>
      <c r="M110" s="3">
        <v>627.0873413085938</v>
      </c>
    </row>
    <row r="111" ht="12.0" customHeight="1">
      <c r="A111" s="6">
        <v>1916.25</v>
      </c>
      <c r="B111" s="3">
        <v>3.102708</v>
      </c>
      <c r="C111" s="6">
        <f t="shared" si="1"/>
        <v>44.41582132</v>
      </c>
      <c r="D111" s="3">
        <v>0.0632152</v>
      </c>
      <c r="E111" s="6">
        <v>101725.1640625</v>
      </c>
      <c r="F111" s="6">
        <v>0.0</v>
      </c>
      <c r="G111" s="6">
        <v>6.5242</v>
      </c>
      <c r="H111" s="7">
        <v>0.0</v>
      </c>
      <c r="I111" s="3">
        <v>702.613</v>
      </c>
      <c r="J111" s="3">
        <v>0.6690295</v>
      </c>
      <c r="K111" s="3">
        <v>679.4374</v>
      </c>
      <c r="M111" s="3">
        <v>629.5789184570312</v>
      </c>
    </row>
    <row r="112" ht="12.0" customHeight="1">
      <c r="A112" s="6">
        <v>1916.5</v>
      </c>
      <c r="B112" s="3">
        <v>3.402233</v>
      </c>
      <c r="C112" s="6">
        <f t="shared" si="1"/>
        <v>44.73478012</v>
      </c>
      <c r="D112" s="3">
        <v>0.0632015</v>
      </c>
      <c r="E112" s="6">
        <v>102082.0859375</v>
      </c>
      <c r="F112" s="6">
        <v>0.0</v>
      </c>
      <c r="G112" s="6">
        <v>6.0719</v>
      </c>
      <c r="H112" s="7">
        <v>0.27</v>
      </c>
      <c r="I112" s="3">
        <v>707.812</v>
      </c>
      <c r="J112" s="3">
        <v>0.7427129</v>
      </c>
      <c r="K112" s="3">
        <v>684.559</v>
      </c>
      <c r="M112" s="3">
        <v>632.080078125</v>
      </c>
    </row>
    <row r="113" ht="12.0" customHeight="1">
      <c r="A113" s="6">
        <v>1916.75</v>
      </c>
      <c r="B113" s="3">
        <v>3.281284</v>
      </c>
      <c r="C113" s="6">
        <f t="shared" si="1"/>
        <v>47.61901582</v>
      </c>
      <c r="D113" s="3">
        <v>0.0676175</v>
      </c>
      <c r="E113" s="6">
        <v>102445.3359375</v>
      </c>
      <c r="F113" s="6">
        <v>0.0</v>
      </c>
      <c r="G113" s="6">
        <v>5.9835</v>
      </c>
      <c r="H113" s="7">
        <v>0.0</v>
      </c>
      <c r="I113" s="3">
        <v>704.241</v>
      </c>
      <c r="J113" s="3">
        <v>0.765314</v>
      </c>
      <c r="K113" s="3">
        <v>689.73</v>
      </c>
      <c r="M113" s="3">
        <v>634.5911865234375</v>
      </c>
    </row>
    <row r="114" ht="12.0" customHeight="1">
      <c r="A114" s="6">
        <v>1917.0</v>
      </c>
      <c r="B114" s="3">
        <v>3.80629</v>
      </c>
      <c r="C114" s="6">
        <f t="shared" si="1"/>
        <v>47.24566552</v>
      </c>
      <c r="D114" s="3">
        <v>0.0698803</v>
      </c>
      <c r="E114" s="6">
        <v>102808.5859375</v>
      </c>
      <c r="F114" s="6">
        <v>0.0</v>
      </c>
      <c r="G114" s="6">
        <v>6.1245</v>
      </c>
      <c r="H114" s="7">
        <v>0.0</v>
      </c>
      <c r="I114" s="3">
        <v>676.0942</v>
      </c>
      <c r="J114" s="3">
        <v>0.8813601</v>
      </c>
      <c r="K114" s="3">
        <v>694.9507</v>
      </c>
      <c r="M114" s="3">
        <v>637.5733032226562</v>
      </c>
    </row>
    <row r="115" ht="12.0" customHeight="1">
      <c r="A115" s="6">
        <v>1917.25</v>
      </c>
      <c r="B115" s="3">
        <v>7.488805</v>
      </c>
      <c r="C115" s="6">
        <f t="shared" si="1"/>
        <v>52.87616542</v>
      </c>
      <c r="D115" s="3">
        <v>0.0768252</v>
      </c>
      <c r="E115" s="6">
        <v>103171.8359375</v>
      </c>
      <c r="F115" s="6">
        <v>0.0</v>
      </c>
      <c r="G115" s="6">
        <v>5.8568</v>
      </c>
      <c r="H115" s="7">
        <v>18.11</v>
      </c>
      <c r="I115" s="3">
        <v>688.2659</v>
      </c>
      <c r="J115" s="3">
        <v>1.630213</v>
      </c>
      <c r="K115" s="3">
        <v>700.2219</v>
      </c>
      <c r="M115" s="3">
        <v>640.5697631835938</v>
      </c>
    </row>
    <row r="116" ht="12.0" customHeight="1">
      <c r="A116" s="6">
        <v>1917.5</v>
      </c>
      <c r="B116" s="3">
        <v>6.943736</v>
      </c>
      <c r="C116" s="6">
        <f t="shared" si="1"/>
        <v>54.23944011</v>
      </c>
      <c r="D116" s="3">
        <v>0.0798146</v>
      </c>
      <c r="E116" s="6">
        <v>103508.6640625</v>
      </c>
      <c r="F116" s="6">
        <v>0.0</v>
      </c>
      <c r="G116" s="6">
        <v>5.0462</v>
      </c>
      <c r="H116" s="7">
        <v>0.0</v>
      </c>
      <c r="I116" s="3">
        <v>679.5679</v>
      </c>
      <c r="J116" s="3">
        <v>1.244113</v>
      </c>
      <c r="K116" s="3">
        <v>705.5449</v>
      </c>
      <c r="M116" s="3">
        <v>643.5802612304688</v>
      </c>
    </row>
    <row r="117" ht="12.0" customHeight="1">
      <c r="A117" s="6">
        <v>1917.75</v>
      </c>
      <c r="B117" s="3">
        <v>7.092088</v>
      </c>
      <c r="C117" s="6">
        <f t="shared" si="1"/>
        <v>55.71874782</v>
      </c>
      <c r="D117" s="3">
        <v>0.0807975</v>
      </c>
      <c r="E117" s="6">
        <v>103792.6640625</v>
      </c>
      <c r="F117" s="6">
        <v>0.0</v>
      </c>
      <c r="G117" s="6">
        <v>3.6925</v>
      </c>
      <c r="H117" s="7">
        <v>3.77</v>
      </c>
      <c r="I117" s="3">
        <v>689.6098</v>
      </c>
      <c r="J117" s="3">
        <v>2.015608</v>
      </c>
      <c r="K117" s="3">
        <v>710.9196</v>
      </c>
      <c r="M117" s="3">
        <v>646.6046142578125</v>
      </c>
    </row>
    <row r="118" ht="12.0" customHeight="1">
      <c r="A118" s="6">
        <v>1918.0</v>
      </c>
      <c r="B118" s="3">
        <v>12.46568</v>
      </c>
      <c r="C118" s="6">
        <f t="shared" si="1"/>
        <v>58.31251513</v>
      </c>
      <c r="D118" s="3">
        <v>0.0827362</v>
      </c>
      <c r="E118" s="6">
        <v>104076.6640625</v>
      </c>
      <c r="F118" s="6">
        <v>0.0</v>
      </c>
      <c r="G118" s="6">
        <v>1.9813</v>
      </c>
      <c r="H118" s="7">
        <v>0.0</v>
      </c>
      <c r="I118" s="3">
        <v>704.8005</v>
      </c>
      <c r="J118" s="3">
        <v>2.342439</v>
      </c>
      <c r="K118" s="3">
        <v>716.3478</v>
      </c>
      <c r="M118" s="3">
        <v>648.8534545898438</v>
      </c>
    </row>
    <row r="119" ht="12.0" customHeight="1">
      <c r="A119" s="6">
        <v>1918.25</v>
      </c>
      <c r="B119" s="3">
        <v>17.14904</v>
      </c>
      <c r="C119" s="6">
        <f t="shared" si="1"/>
        <v>65.99108128</v>
      </c>
      <c r="D119" s="3">
        <v>0.0875608</v>
      </c>
      <c r="E119" s="6">
        <v>104360.6640625</v>
      </c>
      <c r="F119" s="6">
        <v>0.0</v>
      </c>
      <c r="G119" s="6">
        <v>0.79276</v>
      </c>
      <c r="H119" s="7">
        <v>16.3</v>
      </c>
      <c r="I119" s="3">
        <v>753.6601</v>
      </c>
      <c r="J119" s="3">
        <v>7.705238</v>
      </c>
      <c r="K119" s="3">
        <v>721.8295</v>
      </c>
      <c r="M119" s="3">
        <v>651.1100463867188</v>
      </c>
    </row>
    <row r="120" ht="12.0" customHeight="1">
      <c r="A120" s="6">
        <v>1918.5</v>
      </c>
      <c r="B120" s="3">
        <v>20.30564</v>
      </c>
      <c r="C120" s="6">
        <f t="shared" si="1"/>
        <v>72.43545774</v>
      </c>
      <c r="D120" s="3">
        <v>0.0935892</v>
      </c>
      <c r="E120" s="6">
        <v>104592.75</v>
      </c>
      <c r="F120" s="6">
        <v>1.0</v>
      </c>
      <c r="G120" s="6">
        <v>0.64575</v>
      </c>
      <c r="H120" s="7">
        <v>-4.8</v>
      </c>
      <c r="I120" s="3">
        <v>773.9724</v>
      </c>
      <c r="J120" s="3">
        <v>5.385434</v>
      </c>
      <c r="K120" s="3">
        <v>727.3657</v>
      </c>
      <c r="M120" s="3">
        <v>653.374267578125</v>
      </c>
    </row>
    <row r="121" ht="12.0" customHeight="1">
      <c r="A121" s="6">
        <v>1918.75</v>
      </c>
      <c r="B121" s="3">
        <v>23.40271</v>
      </c>
      <c r="C121" s="6">
        <f t="shared" si="1"/>
        <v>73.320713</v>
      </c>
      <c r="D121" s="3">
        <v>0.0971099</v>
      </c>
      <c r="E121" s="6">
        <v>104721.0</v>
      </c>
      <c r="F121" s="6">
        <v>1.0</v>
      </c>
      <c r="G121" s="6">
        <v>1.5402</v>
      </c>
      <c r="H121" s="7">
        <v>-11.0</v>
      </c>
      <c r="I121" s="3">
        <v>755.0282</v>
      </c>
      <c r="J121" s="3">
        <v>3.297531</v>
      </c>
      <c r="K121" s="3">
        <v>732.9576</v>
      </c>
      <c r="M121" s="3">
        <v>655.6466064453125</v>
      </c>
    </row>
    <row r="122" ht="12.0" customHeight="1">
      <c r="A122" s="6">
        <v>1919.0</v>
      </c>
      <c r="B122" s="3">
        <v>17.86712</v>
      </c>
      <c r="C122" s="6">
        <f t="shared" si="1"/>
        <v>70.71880138</v>
      </c>
      <c r="D122" s="3">
        <v>0.0970852</v>
      </c>
      <c r="E122" s="6">
        <v>104849.25</v>
      </c>
      <c r="F122" s="6">
        <v>1.0</v>
      </c>
      <c r="G122" s="6">
        <v>2.3329</v>
      </c>
      <c r="H122" s="7">
        <v>0.0</v>
      </c>
      <c r="I122" s="3">
        <v>728.42</v>
      </c>
      <c r="J122" s="3">
        <v>5.434752</v>
      </c>
      <c r="K122" s="3">
        <v>738.6059</v>
      </c>
      <c r="M122" s="3">
        <v>658.4450073242188</v>
      </c>
    </row>
    <row r="123" ht="12.0" customHeight="1">
      <c r="A123" s="6">
        <v>1919.25</v>
      </c>
      <c r="B123" s="3">
        <v>10.90288</v>
      </c>
      <c r="C123" s="6">
        <f t="shared" si="1"/>
        <v>74.49220609</v>
      </c>
      <c r="D123" s="3">
        <v>0.1003718</v>
      </c>
      <c r="E123" s="6">
        <v>104977.5</v>
      </c>
      <c r="F123" s="6">
        <v>0.0</v>
      </c>
      <c r="G123" s="6">
        <v>2.0101</v>
      </c>
      <c r="H123" s="7">
        <v>0.0</v>
      </c>
      <c r="I123" s="3">
        <v>742.1627</v>
      </c>
      <c r="J123" s="3">
        <v>4.611213</v>
      </c>
      <c r="K123" s="3">
        <v>744.3108</v>
      </c>
      <c r="M123" s="3">
        <v>661.2557373046875</v>
      </c>
    </row>
    <row r="124" ht="12.0" customHeight="1">
      <c r="A124" s="6">
        <v>1919.5</v>
      </c>
      <c r="B124" s="3">
        <v>8.314218</v>
      </c>
      <c r="C124" s="6">
        <f t="shared" si="1"/>
        <v>80.38217874</v>
      </c>
      <c r="D124" s="3">
        <v>0.1057022</v>
      </c>
      <c r="E124" s="6">
        <v>105179.5</v>
      </c>
      <c r="F124" s="6">
        <v>0.0</v>
      </c>
      <c r="G124" s="6">
        <v>2.4286</v>
      </c>
      <c r="H124" s="7">
        <v>0.0</v>
      </c>
      <c r="I124" s="3">
        <v>760.4589</v>
      </c>
      <c r="J124" s="3">
        <v>6.456004</v>
      </c>
      <c r="K124" s="3">
        <v>750.0741</v>
      </c>
      <c r="M124" s="3">
        <v>664.0780639648438</v>
      </c>
    </row>
    <row r="125" ht="12.0" customHeight="1">
      <c r="A125" s="6">
        <v>1919.75</v>
      </c>
      <c r="B125" s="3">
        <v>5.725306</v>
      </c>
      <c r="C125" s="6">
        <f t="shared" si="1"/>
        <v>83.65469586</v>
      </c>
      <c r="D125" s="3">
        <v>0.1086903</v>
      </c>
      <c r="E125" s="6">
        <v>105529.0</v>
      </c>
      <c r="F125" s="6">
        <v>0.0</v>
      </c>
      <c r="G125" s="6">
        <v>2.5883</v>
      </c>
      <c r="H125" s="7">
        <v>0.0</v>
      </c>
      <c r="I125" s="3">
        <v>769.6611</v>
      </c>
      <c r="J125" s="3">
        <v>6.396309</v>
      </c>
      <c r="K125" s="3">
        <v>755.8958</v>
      </c>
      <c r="M125" s="3">
        <v>666.9124755859375</v>
      </c>
    </row>
    <row r="126" ht="12.0" customHeight="1">
      <c r="A126" s="6">
        <v>1920.0</v>
      </c>
      <c r="B126" s="3">
        <v>5.980959</v>
      </c>
      <c r="C126" s="6">
        <f t="shared" si="1"/>
        <v>89.10250136</v>
      </c>
      <c r="D126" s="3">
        <v>0.1158785</v>
      </c>
      <c r="E126" s="6">
        <v>105878.5</v>
      </c>
      <c r="F126" s="6">
        <v>1.0</v>
      </c>
      <c r="G126" s="6">
        <v>3.2986</v>
      </c>
      <c r="H126" s="7">
        <v>0.0</v>
      </c>
      <c r="I126" s="3">
        <v>768.9304</v>
      </c>
      <c r="J126" s="3">
        <v>6.382675</v>
      </c>
      <c r="K126" s="3">
        <v>761.7775</v>
      </c>
      <c r="M126" s="3">
        <v>671.8682250976562</v>
      </c>
    </row>
    <row r="127" ht="12.0" customHeight="1">
      <c r="A127" s="6">
        <v>1920.25</v>
      </c>
      <c r="B127" s="3">
        <v>6.731991</v>
      </c>
      <c r="C127" s="6">
        <f t="shared" si="1"/>
        <v>90.41893051</v>
      </c>
      <c r="D127" s="3">
        <v>0.1223848</v>
      </c>
      <c r="E127" s="6">
        <v>106228.0</v>
      </c>
      <c r="F127" s="6">
        <v>1.0</v>
      </c>
      <c r="G127" s="6">
        <v>4.2369</v>
      </c>
      <c r="H127" s="7">
        <v>0.0</v>
      </c>
      <c r="I127" s="3">
        <v>738.8085</v>
      </c>
      <c r="J127" s="3">
        <v>5.039604</v>
      </c>
      <c r="K127" s="3">
        <v>767.7192</v>
      </c>
      <c r="M127" s="3">
        <v>676.8607788085938</v>
      </c>
    </row>
    <row r="128" ht="12.0" customHeight="1">
      <c r="A128" s="6">
        <v>1920.5</v>
      </c>
      <c r="B128" s="3">
        <v>6.906937</v>
      </c>
      <c r="C128" s="6">
        <f t="shared" si="1"/>
        <v>90.83871346</v>
      </c>
      <c r="D128" s="3">
        <v>0.1231694</v>
      </c>
      <c r="E128" s="6">
        <v>106634.0859375</v>
      </c>
      <c r="F128" s="6">
        <v>1.0</v>
      </c>
      <c r="G128" s="6">
        <v>5.5458</v>
      </c>
      <c r="H128" s="7">
        <v>0.0</v>
      </c>
      <c r="I128" s="3">
        <v>737.5104</v>
      </c>
      <c r="J128" s="3">
        <v>6.322061</v>
      </c>
      <c r="K128" s="3">
        <v>773.7224</v>
      </c>
      <c r="M128" s="3">
        <v>681.8907470703125</v>
      </c>
    </row>
    <row r="129" ht="12.0" customHeight="1">
      <c r="A129" s="6">
        <v>1920.75</v>
      </c>
      <c r="B129" s="3">
        <v>7.108902</v>
      </c>
      <c r="C129" s="6">
        <f t="shared" si="1"/>
        <v>80.86095692</v>
      </c>
      <c r="D129" s="3">
        <v>0.1138265</v>
      </c>
      <c r="E129" s="6">
        <v>107153.3359375</v>
      </c>
      <c r="F129" s="6">
        <v>1.0</v>
      </c>
      <c r="G129" s="6">
        <v>7.5587</v>
      </c>
      <c r="H129" s="7">
        <v>0.0</v>
      </c>
      <c r="I129" s="3">
        <v>710.3878</v>
      </c>
      <c r="J129" s="3">
        <v>5.194001</v>
      </c>
      <c r="K129" s="3">
        <v>779.7875</v>
      </c>
      <c r="M129" s="3">
        <v>686.957763671875</v>
      </c>
    </row>
    <row r="130" ht="12.0" customHeight="1">
      <c r="A130" s="6">
        <v>1921.0</v>
      </c>
      <c r="B130" s="3">
        <v>8.217473</v>
      </c>
      <c r="C130" s="6">
        <f t="shared" si="1"/>
        <v>73.59355141</v>
      </c>
      <c r="D130" s="3">
        <v>0.1061863</v>
      </c>
      <c r="E130" s="6">
        <v>107672.5859375</v>
      </c>
      <c r="F130" s="6">
        <v>1.0</v>
      </c>
      <c r="G130" s="6">
        <v>10.031</v>
      </c>
      <c r="H130" s="7">
        <v>0.0</v>
      </c>
      <c r="I130" s="3">
        <v>693.0607</v>
      </c>
      <c r="J130" s="3">
        <v>4.973418</v>
      </c>
      <c r="K130" s="3">
        <v>785.9158</v>
      </c>
      <c r="M130" s="3">
        <v>694.1223754882812</v>
      </c>
    </row>
    <row r="131" ht="12.0" customHeight="1">
      <c r="A131" s="6">
        <v>1921.25</v>
      </c>
      <c r="B131" s="3">
        <v>7.650713</v>
      </c>
      <c r="C131" s="6">
        <f t="shared" si="1"/>
        <v>74.17793951</v>
      </c>
      <c r="D131" s="3">
        <v>0.1035276</v>
      </c>
      <c r="E131" s="6">
        <v>108191.8359375</v>
      </c>
      <c r="F131" s="6">
        <v>1.0</v>
      </c>
      <c r="G131" s="6">
        <v>11.804</v>
      </c>
      <c r="H131" s="7">
        <v>0.0</v>
      </c>
      <c r="I131" s="3">
        <v>716.504</v>
      </c>
      <c r="J131" s="3">
        <v>3.84948</v>
      </c>
      <c r="K131" s="3">
        <v>792.1077</v>
      </c>
      <c r="M131" s="3">
        <v>701.3617553710938</v>
      </c>
    </row>
    <row r="132" ht="12.0" customHeight="1">
      <c r="A132" s="6">
        <v>1921.5</v>
      </c>
      <c r="B132" s="3">
        <v>6.034123</v>
      </c>
      <c r="C132" s="6">
        <f t="shared" si="1"/>
        <v>75.30433049</v>
      </c>
      <c r="D132" s="3">
        <v>0.1027467</v>
      </c>
      <c r="E132" s="6">
        <v>108663.9140625</v>
      </c>
      <c r="F132" s="6">
        <v>1.0</v>
      </c>
      <c r="G132" s="6">
        <v>11.966</v>
      </c>
      <c r="H132" s="7">
        <v>0.0</v>
      </c>
      <c r="I132" s="3">
        <v>732.9124</v>
      </c>
      <c r="J132" s="3">
        <v>4.265074</v>
      </c>
      <c r="K132" s="3">
        <v>798.3644</v>
      </c>
      <c r="M132" s="3">
        <v>708.6766357421875</v>
      </c>
    </row>
    <row r="133" ht="12.0" customHeight="1">
      <c r="A133" s="6">
        <v>1921.75</v>
      </c>
      <c r="B133" s="3">
        <v>6.623793</v>
      </c>
      <c r="C133" s="6">
        <f t="shared" si="1"/>
        <v>75.03398707</v>
      </c>
      <c r="D133" s="3">
        <v>0.1012724</v>
      </c>
      <c r="E133" s="6">
        <v>109041.6640625</v>
      </c>
      <c r="F133" s="6">
        <v>0.0</v>
      </c>
      <c r="G133" s="6">
        <v>11.518</v>
      </c>
      <c r="H133" s="7">
        <v>-0.75</v>
      </c>
      <c r="I133" s="3">
        <v>740.9125</v>
      </c>
      <c r="J133" s="3">
        <v>4.131735</v>
      </c>
      <c r="K133" s="3">
        <v>804.6867</v>
      </c>
      <c r="M133" s="3">
        <v>716.0677490234375</v>
      </c>
    </row>
    <row r="134" ht="12.0" customHeight="1">
      <c r="A134" s="6">
        <v>1922.0</v>
      </c>
      <c r="B134" s="3">
        <v>6.178327</v>
      </c>
      <c r="C134" s="6">
        <f t="shared" si="1"/>
        <v>71.23670638</v>
      </c>
      <c r="D134" s="3">
        <v>0.0965788</v>
      </c>
      <c r="E134" s="6">
        <v>109419.4140625</v>
      </c>
      <c r="F134" s="6">
        <v>0.0</v>
      </c>
      <c r="G134" s="6">
        <v>10.573</v>
      </c>
      <c r="H134" s="7">
        <v>0.0</v>
      </c>
      <c r="I134" s="3">
        <v>737.6019</v>
      </c>
      <c r="J134" s="3">
        <v>3.349557</v>
      </c>
      <c r="K134" s="3">
        <v>811.0757</v>
      </c>
      <c r="M134" s="3">
        <v>722.9517822265625</v>
      </c>
    </row>
    <row r="135" ht="12.0" customHeight="1">
      <c r="A135" s="6">
        <v>1922.25</v>
      </c>
      <c r="B135" s="3">
        <v>5.979459</v>
      </c>
      <c r="C135" s="6">
        <f t="shared" si="1"/>
        <v>71.89020418</v>
      </c>
      <c r="D135" s="3">
        <v>0.0953982</v>
      </c>
      <c r="E135" s="6">
        <v>109797.1640625</v>
      </c>
      <c r="F135" s="6">
        <v>0.0</v>
      </c>
      <c r="G135" s="6">
        <v>9.3443</v>
      </c>
      <c r="H135" s="7">
        <v>0.0</v>
      </c>
      <c r="I135" s="3">
        <v>753.5803</v>
      </c>
      <c r="J135" s="3">
        <v>2.95201</v>
      </c>
      <c r="K135" s="3">
        <v>817.5318</v>
      </c>
      <c r="M135" s="3">
        <v>729.9020385742188</v>
      </c>
    </row>
    <row r="136" ht="12.0" customHeight="1">
      <c r="A136" s="6">
        <v>1922.5</v>
      </c>
      <c r="B136" s="3">
        <v>6.560822</v>
      </c>
      <c r="C136" s="6">
        <f t="shared" si="1"/>
        <v>73.65939522</v>
      </c>
      <c r="D136" s="3">
        <v>0.0960533</v>
      </c>
      <c r="E136" s="6">
        <v>110207.1640625</v>
      </c>
      <c r="F136" s="6">
        <v>0.0</v>
      </c>
      <c r="G136" s="6">
        <v>7.9455</v>
      </c>
      <c r="H136" s="7">
        <v>0.0</v>
      </c>
      <c r="I136" s="3">
        <v>766.8596</v>
      </c>
      <c r="J136" s="3">
        <v>3.256963</v>
      </c>
      <c r="K136" s="3">
        <v>824.0557</v>
      </c>
      <c r="M136" s="3">
        <v>736.9190063476562</v>
      </c>
    </row>
    <row r="137" ht="12.0" customHeight="1">
      <c r="A137" s="6">
        <v>1922.75</v>
      </c>
      <c r="B137" s="3">
        <v>8.227491</v>
      </c>
      <c r="C137" s="6">
        <f t="shared" si="1"/>
        <v>76.94880428</v>
      </c>
      <c r="D137" s="3">
        <v>0.0965089</v>
      </c>
      <c r="E137" s="6">
        <v>110681.6640625</v>
      </c>
      <c r="F137" s="6">
        <v>0.0</v>
      </c>
      <c r="G137" s="6">
        <v>6.377</v>
      </c>
      <c r="H137" s="7">
        <v>0.0</v>
      </c>
      <c r="I137" s="3">
        <v>797.3234</v>
      </c>
      <c r="J137" s="3">
        <v>3.767277</v>
      </c>
      <c r="K137" s="3">
        <v>830.6492</v>
      </c>
      <c r="M137" s="3">
        <v>744.0035400390625</v>
      </c>
    </row>
    <row r="138" ht="12.0" customHeight="1">
      <c r="A138" s="6">
        <v>1923.0</v>
      </c>
      <c r="B138" s="3">
        <v>7.424726</v>
      </c>
      <c r="C138" s="6">
        <f t="shared" si="1"/>
        <v>83.40266914</v>
      </c>
      <c r="D138" s="3">
        <v>0.0991212</v>
      </c>
      <c r="E138" s="6">
        <v>111156.1640625</v>
      </c>
      <c r="F138" s="6">
        <v>0.0</v>
      </c>
      <c r="G138" s="6">
        <v>4.7579</v>
      </c>
      <c r="H138" s="7">
        <v>0.0</v>
      </c>
      <c r="I138" s="3">
        <v>841.4211</v>
      </c>
      <c r="J138" s="3">
        <v>3.52025</v>
      </c>
      <c r="K138" s="3">
        <v>837.3121</v>
      </c>
      <c r="M138" s="3">
        <v>752.90283203125</v>
      </c>
    </row>
    <row r="139" ht="12.0" customHeight="1">
      <c r="A139" s="6">
        <v>1923.25</v>
      </c>
      <c r="B139" s="3">
        <v>6.65105</v>
      </c>
      <c r="C139" s="6">
        <f t="shared" si="1"/>
        <v>86.8740436</v>
      </c>
      <c r="D139" s="3">
        <v>0.0993774</v>
      </c>
      <c r="E139" s="6">
        <v>111630.6640625</v>
      </c>
      <c r="F139" s="6">
        <v>1.0</v>
      </c>
      <c r="G139" s="6">
        <v>3.9874</v>
      </c>
      <c r="H139" s="7">
        <v>0.0</v>
      </c>
      <c r="I139" s="3">
        <v>874.1831</v>
      </c>
      <c r="J139" s="3">
        <v>3.522286</v>
      </c>
      <c r="K139" s="3">
        <v>844.0463</v>
      </c>
      <c r="M139" s="3">
        <v>761.908935546875</v>
      </c>
    </row>
    <row r="140" ht="12.0" customHeight="1">
      <c r="A140" s="6">
        <v>1923.5</v>
      </c>
      <c r="B140" s="3">
        <v>6.468223</v>
      </c>
      <c r="C140" s="6">
        <f t="shared" si="1"/>
        <v>85.46238064</v>
      </c>
      <c r="D140" s="3">
        <v>0.0983544</v>
      </c>
      <c r="E140" s="6">
        <v>112127.1640625</v>
      </c>
      <c r="F140" s="6">
        <v>1.0</v>
      </c>
      <c r="G140" s="6">
        <v>4.1848</v>
      </c>
      <c r="H140" s="7">
        <v>0.0</v>
      </c>
      <c r="I140" s="3">
        <v>868.9228</v>
      </c>
      <c r="J140" s="3">
        <v>3.556728</v>
      </c>
      <c r="K140" s="3">
        <v>850.8524</v>
      </c>
      <c r="M140" s="3">
        <v>771.0224609375</v>
      </c>
    </row>
    <row r="141" ht="12.0" customHeight="1">
      <c r="A141" s="6">
        <v>1923.75</v>
      </c>
      <c r="B141" s="3">
        <v>7.461472</v>
      </c>
      <c r="C141" s="6">
        <f t="shared" si="1"/>
        <v>86.8545904</v>
      </c>
      <c r="D141" s="3">
        <v>0.0989869</v>
      </c>
      <c r="E141" s="6">
        <v>112667.6640625</v>
      </c>
      <c r="F141" s="6">
        <v>1.0</v>
      </c>
      <c r="G141" s="6">
        <v>4.35</v>
      </c>
      <c r="H141" s="7">
        <v>0.0</v>
      </c>
      <c r="I141" s="3">
        <v>877.4352</v>
      </c>
      <c r="J141" s="3">
        <v>3.478432</v>
      </c>
      <c r="K141" s="3">
        <v>857.7307</v>
      </c>
      <c r="M141" s="3">
        <v>780.2449340820312</v>
      </c>
    </row>
    <row r="142" ht="12.0" customHeight="1">
      <c r="A142" s="6">
        <v>1924.0</v>
      </c>
      <c r="B142" s="3">
        <v>6.660392</v>
      </c>
      <c r="C142" s="6">
        <f t="shared" si="1"/>
        <v>90.48424471</v>
      </c>
      <c r="D142" s="3">
        <v>0.0997765</v>
      </c>
      <c r="E142" s="6">
        <v>113208.1640625</v>
      </c>
      <c r="F142" s="6">
        <v>1.0</v>
      </c>
      <c r="G142" s="6">
        <v>5.0249</v>
      </c>
      <c r="H142" s="7">
        <v>0.0</v>
      </c>
      <c r="I142" s="3">
        <v>906.8693</v>
      </c>
      <c r="J142" s="3">
        <v>3.61199</v>
      </c>
      <c r="K142" s="3">
        <v>864.683</v>
      </c>
      <c r="M142" s="3">
        <v>790.3966674804688</v>
      </c>
    </row>
    <row r="143" ht="12.0" customHeight="1">
      <c r="A143" s="6">
        <v>1924.25</v>
      </c>
      <c r="B143" s="3">
        <v>7.7452820000000004</v>
      </c>
      <c r="C143" s="6">
        <f t="shared" si="1"/>
        <v>86.27139018</v>
      </c>
      <c r="D143" s="3">
        <v>0.0982164</v>
      </c>
      <c r="E143" s="6">
        <v>113748.6640625</v>
      </c>
      <c r="F143" s="6">
        <v>1.0</v>
      </c>
      <c r="G143" s="6">
        <v>5.6175</v>
      </c>
      <c r="H143" s="7">
        <v>0.0</v>
      </c>
      <c r="I143" s="3">
        <v>878.3807</v>
      </c>
      <c r="J143" s="3">
        <v>3.485342</v>
      </c>
      <c r="K143" s="3">
        <v>871.7096</v>
      </c>
      <c r="M143" s="3">
        <v>800.6801147460938</v>
      </c>
    </row>
    <row r="144" ht="12.0" customHeight="1">
      <c r="A144" s="6">
        <v>1924.5</v>
      </c>
      <c r="B144" s="3">
        <v>7.944488</v>
      </c>
      <c r="C144" s="6">
        <f t="shared" si="1"/>
        <v>84.99729797</v>
      </c>
      <c r="D144" s="3">
        <v>0.0983499</v>
      </c>
      <c r="E144" s="6">
        <v>114252.3359375</v>
      </c>
      <c r="F144" s="6">
        <v>1.0</v>
      </c>
      <c r="G144" s="6">
        <v>5.3363</v>
      </c>
      <c r="H144" s="7">
        <v>0.0</v>
      </c>
      <c r="I144" s="3">
        <v>864.2337</v>
      </c>
      <c r="J144" s="3">
        <v>3.247258</v>
      </c>
      <c r="K144" s="3">
        <v>878.8113</v>
      </c>
      <c r="M144" s="3">
        <v>811.0973510742188</v>
      </c>
    </row>
    <row r="145" ht="12.0" customHeight="1">
      <c r="A145" s="6">
        <v>1924.75</v>
      </c>
      <c r="B145" s="3">
        <v>7.986835</v>
      </c>
      <c r="C145" s="6">
        <f t="shared" si="1"/>
        <v>89.33300384</v>
      </c>
      <c r="D145" s="3">
        <v>0.0994972</v>
      </c>
      <c r="E145" s="6">
        <v>114682.3359375</v>
      </c>
      <c r="F145" s="6">
        <v>0.0</v>
      </c>
      <c r="G145" s="6">
        <v>5.1813</v>
      </c>
      <c r="H145" s="7">
        <v>0.0</v>
      </c>
      <c r="I145" s="3">
        <v>897.8444</v>
      </c>
      <c r="J145" s="3">
        <v>3.557621</v>
      </c>
      <c r="K145" s="3">
        <v>885.9894</v>
      </c>
      <c r="M145" s="3">
        <v>821.6505126953125</v>
      </c>
    </row>
    <row r="146" ht="12.0" customHeight="1">
      <c r="A146" s="6">
        <v>1925.0</v>
      </c>
      <c r="B146" s="3">
        <v>8.578964</v>
      </c>
      <c r="C146" s="6">
        <f t="shared" si="1"/>
        <v>91.0530183</v>
      </c>
      <c r="D146" s="3">
        <v>0.1009205</v>
      </c>
      <c r="E146" s="6">
        <v>115112.3359375</v>
      </c>
      <c r="F146" s="6">
        <v>0.0</v>
      </c>
      <c r="G146" s="6">
        <v>5.1575</v>
      </c>
      <c r="H146" s="7">
        <v>0.0</v>
      </c>
      <c r="I146" s="3">
        <v>902.2252</v>
      </c>
      <c r="J146" s="3">
        <v>3.264013</v>
      </c>
      <c r="K146" s="3">
        <v>893.2449</v>
      </c>
      <c r="M146" s="3">
        <v>831.2645263671875</v>
      </c>
    </row>
    <row r="147" ht="12.0" customHeight="1">
      <c r="A147" s="6">
        <v>1925.25</v>
      </c>
      <c r="B147" s="3">
        <v>7.814584</v>
      </c>
      <c r="C147" s="6">
        <f t="shared" si="1"/>
        <v>89.94883826</v>
      </c>
      <c r="D147" s="3">
        <v>0.0997666</v>
      </c>
      <c r="E147" s="6">
        <v>115542.3359375</v>
      </c>
      <c r="F147" s="6">
        <v>0.0</v>
      </c>
      <c r="G147" s="6">
        <v>4.955</v>
      </c>
      <c r="H147" s="7">
        <v>0.0</v>
      </c>
      <c r="I147" s="3">
        <v>901.5927</v>
      </c>
      <c r="J147" s="3">
        <v>3.223901</v>
      </c>
      <c r="K147" s="3">
        <v>900.5788</v>
      </c>
      <c r="M147" s="3">
        <v>840.991455078125</v>
      </c>
    </row>
    <row r="148" ht="12.0" customHeight="1">
      <c r="A148" s="6">
        <v>1925.5</v>
      </c>
      <c r="B148" s="3">
        <v>8.327534</v>
      </c>
      <c r="C148" s="6">
        <f t="shared" si="1"/>
        <v>92.54615137</v>
      </c>
      <c r="D148" s="3">
        <v>0.1007701</v>
      </c>
      <c r="E148" s="6">
        <v>115959.6640625</v>
      </c>
      <c r="F148" s="6">
        <v>0.0</v>
      </c>
      <c r="G148" s="6">
        <v>4.5788</v>
      </c>
      <c r="H148" s="7">
        <v>0.0</v>
      </c>
      <c r="I148" s="3">
        <v>918.389</v>
      </c>
      <c r="J148" s="3">
        <v>3.412778</v>
      </c>
      <c r="K148" s="3">
        <v>907.9915</v>
      </c>
      <c r="M148" s="3">
        <v>850.8321533203125</v>
      </c>
    </row>
    <row r="149" ht="12.0" customHeight="1">
      <c r="A149" s="6">
        <v>1925.75</v>
      </c>
      <c r="B149" s="3">
        <v>8.128528</v>
      </c>
      <c r="C149" s="6">
        <f t="shared" si="1"/>
        <v>94.8889482</v>
      </c>
      <c r="D149" s="3">
        <v>0.1012888</v>
      </c>
      <c r="E149" s="6">
        <v>116351.6640625</v>
      </c>
      <c r="F149" s="6">
        <v>0.0</v>
      </c>
      <c r="G149" s="6">
        <v>4.0287</v>
      </c>
      <c r="H149" s="7">
        <v>0.0</v>
      </c>
      <c r="I149" s="3">
        <v>936.8158</v>
      </c>
      <c r="J149" s="3">
        <v>3.382682</v>
      </c>
      <c r="K149" s="3">
        <v>915.4839</v>
      </c>
      <c r="M149" s="3">
        <v>860.78759765625</v>
      </c>
    </row>
    <row r="150" ht="12.0" customHeight="1">
      <c r="A150" s="6">
        <v>1926.0</v>
      </c>
      <c r="B150" s="3">
        <v>7.983655</v>
      </c>
      <c r="C150" s="6">
        <f t="shared" si="1"/>
        <v>96.26577132</v>
      </c>
      <c r="D150" s="3">
        <v>0.1012824</v>
      </c>
      <c r="E150" s="6">
        <v>116743.6640625</v>
      </c>
      <c r="F150" s="6">
        <v>0.0</v>
      </c>
      <c r="G150" s="6">
        <v>3.358</v>
      </c>
      <c r="H150" s="7">
        <v>0.0</v>
      </c>
      <c r="I150" s="3">
        <v>950.4689</v>
      </c>
      <c r="J150" s="3">
        <v>3.529795</v>
      </c>
      <c r="K150" s="3">
        <v>923.0575</v>
      </c>
      <c r="M150" s="3">
        <v>869.9248657226562</v>
      </c>
    </row>
    <row r="151" ht="12.0" customHeight="1">
      <c r="A151" s="6">
        <v>1926.25</v>
      </c>
      <c r="B151" s="3">
        <v>8.533439</v>
      </c>
      <c r="C151" s="6">
        <f t="shared" si="1"/>
        <v>96.87250473</v>
      </c>
      <c r="D151" s="3">
        <v>0.1011772</v>
      </c>
      <c r="E151" s="6">
        <v>117135.6640625</v>
      </c>
      <c r="F151" s="6">
        <v>0.0</v>
      </c>
      <c r="G151" s="6">
        <v>2.8186</v>
      </c>
      <c r="H151" s="7">
        <v>0.0</v>
      </c>
      <c r="I151" s="3">
        <v>957.4539</v>
      </c>
      <c r="J151" s="3">
        <v>3.529772</v>
      </c>
      <c r="K151" s="3">
        <v>930.7133</v>
      </c>
      <c r="M151" s="3">
        <v>879.1596069335938</v>
      </c>
    </row>
    <row r="152" ht="12.0" customHeight="1">
      <c r="A152" s="6">
        <v>1926.5</v>
      </c>
      <c r="B152" s="3">
        <v>7.896988</v>
      </c>
      <c r="C152" s="6">
        <f t="shared" si="1"/>
        <v>99.55450057</v>
      </c>
      <c r="D152" s="3">
        <v>0.1012506</v>
      </c>
      <c r="E152" s="6">
        <v>117533.5</v>
      </c>
      <c r="F152" s="6">
        <v>0.0</v>
      </c>
      <c r="G152" s="6">
        <v>2.4636</v>
      </c>
      <c r="H152" s="7">
        <v>0.0</v>
      </c>
      <c r="I152" s="3">
        <v>983.2485</v>
      </c>
      <c r="J152" s="3">
        <v>3.898065</v>
      </c>
      <c r="K152" s="3">
        <v>938.4519</v>
      </c>
      <c r="M152" s="3">
        <v>888.4923095703125</v>
      </c>
    </row>
    <row r="153" ht="12.0" customHeight="1">
      <c r="A153" s="6">
        <v>1926.75</v>
      </c>
      <c r="B153" s="3">
        <v>8.621143</v>
      </c>
      <c r="C153" s="6">
        <f t="shared" si="1"/>
        <v>100.3366079</v>
      </c>
      <c r="D153" s="3">
        <v>0.1012332</v>
      </c>
      <c r="E153" s="6">
        <v>117943.0</v>
      </c>
      <c r="F153" s="6">
        <v>1.0</v>
      </c>
      <c r="G153" s="6">
        <v>2.9597</v>
      </c>
      <c r="H153" s="7">
        <v>0.0</v>
      </c>
      <c r="I153" s="3">
        <v>991.1433</v>
      </c>
      <c r="J153" s="3">
        <v>3.584044</v>
      </c>
      <c r="K153" s="3">
        <v>946.2742</v>
      </c>
      <c r="M153" s="3">
        <v>897.9236450195312</v>
      </c>
    </row>
    <row r="154" ht="12.0" customHeight="1">
      <c r="A154" s="6">
        <v>1927.0</v>
      </c>
      <c r="B154" s="3">
        <v>8.986539</v>
      </c>
      <c r="C154" s="6">
        <f t="shared" si="1"/>
        <v>98.7725068</v>
      </c>
      <c r="D154" s="3">
        <v>0.0998953</v>
      </c>
      <c r="E154" s="6">
        <v>118352.5</v>
      </c>
      <c r="F154" s="6">
        <v>1.0</v>
      </c>
      <c r="G154" s="6">
        <v>3.3178</v>
      </c>
      <c r="H154" s="7">
        <v>0.0</v>
      </c>
      <c r="I154" s="3">
        <v>988.7603</v>
      </c>
      <c r="J154" s="3">
        <v>3.519731</v>
      </c>
      <c r="K154" s="3">
        <v>954.1813</v>
      </c>
      <c r="M154" s="3">
        <v>907.252685546875</v>
      </c>
    </row>
    <row r="155" ht="12.0" customHeight="1">
      <c r="A155" s="6">
        <v>1927.25</v>
      </c>
      <c r="B155" s="3">
        <v>8.514845</v>
      </c>
      <c r="C155" s="6">
        <f t="shared" si="1"/>
        <v>98.40397586</v>
      </c>
      <c r="D155" s="3">
        <v>0.0988567</v>
      </c>
      <c r="E155" s="6">
        <v>118762.0</v>
      </c>
      <c r="F155" s="6">
        <v>1.0</v>
      </c>
      <c r="G155" s="6">
        <v>3.5896</v>
      </c>
      <c r="H155" s="7">
        <v>0.0</v>
      </c>
      <c r="I155" s="3">
        <v>995.4204</v>
      </c>
      <c r="J155" s="3">
        <v>3.649075</v>
      </c>
      <c r="K155" s="3">
        <v>962.1741</v>
      </c>
      <c r="M155" s="3">
        <v>916.6785888671875</v>
      </c>
    </row>
    <row r="156" ht="12.0" customHeight="1">
      <c r="A156" s="6">
        <v>1927.5</v>
      </c>
      <c r="B156" s="3">
        <v>9.165153</v>
      </c>
      <c r="C156" s="6">
        <f t="shared" si="1"/>
        <v>97.46594973</v>
      </c>
      <c r="D156" s="3">
        <v>0.099455</v>
      </c>
      <c r="E156" s="6">
        <v>119157.8359375</v>
      </c>
      <c r="F156" s="6">
        <v>1.0</v>
      </c>
      <c r="G156" s="6">
        <v>4.1192</v>
      </c>
      <c r="H156" s="7">
        <v>0.0</v>
      </c>
      <c r="I156" s="3">
        <v>980.0005</v>
      </c>
      <c r="J156" s="3">
        <v>3.579025</v>
      </c>
      <c r="K156" s="3">
        <v>970.2538</v>
      </c>
      <c r="M156" s="3">
        <v>926.202880859375</v>
      </c>
    </row>
    <row r="157" ht="12.0" customHeight="1">
      <c r="A157" s="6">
        <v>1927.75</v>
      </c>
      <c r="B157" s="3">
        <v>8.935633</v>
      </c>
      <c r="C157" s="6">
        <f t="shared" si="1"/>
        <v>95.92673811</v>
      </c>
      <c r="D157" s="3">
        <v>0.0998305</v>
      </c>
      <c r="E157" s="6">
        <v>119526.3359375</v>
      </c>
      <c r="F157" s="6">
        <v>1.0</v>
      </c>
      <c r="G157" s="6">
        <v>4.5734</v>
      </c>
      <c r="H157" s="7">
        <v>0.0</v>
      </c>
      <c r="I157" s="3">
        <v>960.8961</v>
      </c>
      <c r="J157" s="3">
        <v>3.491747</v>
      </c>
      <c r="K157" s="3">
        <v>978.4215</v>
      </c>
      <c r="M157" s="3">
        <v>935.82568359375</v>
      </c>
    </row>
    <row r="158" ht="12.0" customHeight="1">
      <c r="A158" s="6">
        <v>1928.0</v>
      </c>
      <c r="B158" s="3">
        <v>9.336145</v>
      </c>
      <c r="C158" s="6">
        <f t="shared" si="1"/>
        <v>95.35250381</v>
      </c>
      <c r="D158" s="3">
        <v>0.0985761</v>
      </c>
      <c r="E158" s="6">
        <v>119894.8359375</v>
      </c>
      <c r="F158" s="6">
        <v>0.0</v>
      </c>
      <c r="G158" s="6">
        <v>4.8166</v>
      </c>
      <c r="H158" s="7">
        <v>0.256</v>
      </c>
      <c r="I158" s="3">
        <v>967.2984</v>
      </c>
      <c r="J158" s="3">
        <v>3.848528</v>
      </c>
      <c r="K158" s="3">
        <v>986.6776</v>
      </c>
      <c r="M158" s="3">
        <v>944.350341796875</v>
      </c>
    </row>
    <row r="159" ht="12.0" customHeight="1">
      <c r="A159" s="6">
        <v>1928.25</v>
      </c>
      <c r="B159" s="3">
        <v>9.024231</v>
      </c>
      <c r="C159" s="6">
        <f t="shared" si="1"/>
        <v>96.57667457</v>
      </c>
      <c r="D159" s="3">
        <v>0.0986897</v>
      </c>
      <c r="E159" s="6">
        <v>120263.3359375</v>
      </c>
      <c r="F159" s="6">
        <v>0.0</v>
      </c>
      <c r="G159" s="6">
        <v>5.2041</v>
      </c>
      <c r="H159" s="7">
        <v>0.0</v>
      </c>
      <c r="I159" s="3">
        <v>978.5892</v>
      </c>
      <c r="J159" s="3">
        <v>3.319068</v>
      </c>
      <c r="K159" s="3">
        <v>995.0234</v>
      </c>
      <c r="M159" s="3">
        <v>952.953125</v>
      </c>
    </row>
    <row r="160" ht="12.0" customHeight="1">
      <c r="A160" s="6">
        <v>1928.5</v>
      </c>
      <c r="B160" s="3">
        <v>9.25681</v>
      </c>
      <c r="C160" s="6">
        <f t="shared" si="1"/>
        <v>99.1206532</v>
      </c>
      <c r="D160" s="3">
        <v>0.099053</v>
      </c>
      <c r="E160" s="6">
        <v>120613.8359375</v>
      </c>
      <c r="F160" s="6">
        <v>0.0</v>
      </c>
      <c r="G160" s="6">
        <v>4.9338</v>
      </c>
      <c r="H160" s="7">
        <v>0.0</v>
      </c>
      <c r="I160" s="3">
        <v>1000.683</v>
      </c>
      <c r="J160" s="3">
        <v>3.287936</v>
      </c>
      <c r="K160" s="3">
        <v>1003.46</v>
      </c>
      <c r="M160" s="3">
        <v>961.63427734375</v>
      </c>
    </row>
    <row r="161" ht="12.0" customHeight="1">
      <c r="A161" s="6">
        <v>1928.75</v>
      </c>
      <c r="B161" s="3">
        <v>9.433699</v>
      </c>
      <c r="C161" s="6">
        <f t="shared" si="1"/>
        <v>99.33924712</v>
      </c>
      <c r="D161" s="3">
        <v>0.0982655</v>
      </c>
      <c r="E161" s="6">
        <v>120928.3359375</v>
      </c>
      <c r="F161" s="6">
        <v>0.0</v>
      </c>
      <c r="G161" s="6">
        <v>4.0056</v>
      </c>
      <c r="H161" s="7">
        <v>0.0</v>
      </c>
      <c r="I161" s="3">
        <v>1010.927</v>
      </c>
      <c r="J161" s="3">
        <v>3.41826</v>
      </c>
      <c r="K161" s="3">
        <v>1011.988</v>
      </c>
      <c r="M161" s="3">
        <v>970.39404296875</v>
      </c>
    </row>
    <row r="162" ht="12.0" customHeight="1">
      <c r="A162" s="6">
        <v>1929.0</v>
      </c>
      <c r="B162" s="3">
        <v>9.617076</v>
      </c>
      <c r="C162" s="6">
        <f t="shared" si="1"/>
        <v>101.6625864</v>
      </c>
      <c r="D162" s="3">
        <v>0.0985411</v>
      </c>
      <c r="E162" s="6">
        <v>121242.8359375</v>
      </c>
      <c r="F162" s="6">
        <v>0.0</v>
      </c>
      <c r="G162" s="6">
        <v>2.6522</v>
      </c>
      <c r="H162" s="7">
        <v>0.0</v>
      </c>
      <c r="I162" s="3">
        <v>1031.677</v>
      </c>
      <c r="J162" s="3">
        <v>3.818142</v>
      </c>
      <c r="K162" s="3">
        <v>1020.609</v>
      </c>
      <c r="M162" s="3">
        <v>978.946044921875</v>
      </c>
    </row>
    <row r="163" ht="12.0" customHeight="1">
      <c r="A163" s="6">
        <v>1929.25</v>
      </c>
      <c r="B163" s="3">
        <v>9.314124</v>
      </c>
      <c r="C163" s="6">
        <f t="shared" si="1"/>
        <v>106.0737839</v>
      </c>
      <c r="D163" s="3">
        <v>0.0986553</v>
      </c>
      <c r="E163" s="6">
        <v>121557.3359375</v>
      </c>
      <c r="F163" s="6">
        <v>0.0</v>
      </c>
      <c r="G163" s="6">
        <v>1.9795</v>
      </c>
      <c r="H163" s="7">
        <v>0.0</v>
      </c>
      <c r="I163" s="3">
        <v>1075.196</v>
      </c>
      <c r="J163" s="3">
        <v>3.754627</v>
      </c>
      <c r="K163" s="3">
        <v>1029.323</v>
      </c>
      <c r="M163" s="3">
        <v>987.5738525390625</v>
      </c>
    </row>
    <row r="164" ht="12.0" customHeight="1">
      <c r="A164" s="6">
        <v>1929.5</v>
      </c>
      <c r="B164" s="3">
        <v>9.485061</v>
      </c>
      <c r="C164" s="6">
        <f t="shared" si="1"/>
        <v>108.1003824</v>
      </c>
      <c r="D164" s="3">
        <v>0.0997282</v>
      </c>
      <c r="E164" s="6">
        <v>121885.4140625</v>
      </c>
      <c r="F164" s="6">
        <v>1.0</v>
      </c>
      <c r="G164" s="6">
        <v>2.5537</v>
      </c>
      <c r="H164" s="7">
        <v>0.0</v>
      </c>
      <c r="I164" s="3">
        <v>1083.95</v>
      </c>
      <c r="J164" s="3">
        <v>3.744013</v>
      </c>
      <c r="K164" s="3">
        <v>1038.132</v>
      </c>
      <c r="M164" s="3">
        <v>996.2772216796875</v>
      </c>
    </row>
    <row r="165" ht="12.0" customHeight="1">
      <c r="A165" s="6">
        <v>1929.75</v>
      </c>
      <c r="B165" s="3">
        <v>9.983741</v>
      </c>
      <c r="C165" s="6">
        <f t="shared" si="1"/>
        <v>102.4346121</v>
      </c>
      <c r="D165" s="3">
        <v>0.0989154</v>
      </c>
      <c r="E165" s="6">
        <v>122240.6640625</v>
      </c>
      <c r="F165" s="6">
        <v>1.0</v>
      </c>
      <c r="G165" s="6">
        <v>4.3746</v>
      </c>
      <c r="H165" s="7">
        <v>0.0</v>
      </c>
      <c r="I165" s="3">
        <v>1035.578</v>
      </c>
      <c r="J165" s="3">
        <v>3.483219</v>
      </c>
      <c r="K165" s="3">
        <v>1047.037</v>
      </c>
      <c r="M165" s="3">
        <v>1005.0573120117188</v>
      </c>
    </row>
    <row r="166" ht="12.0" customHeight="1">
      <c r="A166" s="6">
        <v>1930.0</v>
      </c>
      <c r="B166" s="3">
        <v>10.31596</v>
      </c>
      <c r="C166" s="6">
        <f t="shared" si="1"/>
        <v>98.0771059</v>
      </c>
      <c r="D166" s="3">
        <v>0.097944</v>
      </c>
      <c r="E166" s="6">
        <v>122595.9140625</v>
      </c>
      <c r="F166" s="6">
        <v>1.0</v>
      </c>
      <c r="G166" s="6">
        <v>6.3818</v>
      </c>
      <c r="H166" s="7">
        <v>0.0</v>
      </c>
      <c r="I166" s="3">
        <v>1001.359</v>
      </c>
      <c r="J166" s="3">
        <v>3.183901</v>
      </c>
      <c r="K166" s="3">
        <v>1056.039</v>
      </c>
      <c r="M166" s="3">
        <v>1012.9690551757812</v>
      </c>
    </row>
    <row r="167" ht="12.0" customHeight="1">
      <c r="A167" s="6">
        <v>1930.25</v>
      </c>
      <c r="B167" s="3">
        <v>10.40615</v>
      </c>
      <c r="C167" s="6">
        <f t="shared" si="1"/>
        <v>96.84467763</v>
      </c>
      <c r="D167" s="3">
        <v>0.0969331</v>
      </c>
      <c r="E167" s="6">
        <v>122951.1640625</v>
      </c>
      <c r="F167" s="6">
        <v>1.0</v>
      </c>
      <c r="G167" s="6">
        <v>6.8398</v>
      </c>
      <c r="H167" s="7">
        <v>0.0</v>
      </c>
      <c r="I167" s="3">
        <v>999.0878</v>
      </c>
      <c r="J167" s="3">
        <v>3.41028</v>
      </c>
      <c r="K167" s="3">
        <v>1065.138</v>
      </c>
      <c r="M167" s="3">
        <v>1020.9430541992188</v>
      </c>
    </row>
    <row r="168" ht="12.0" customHeight="1">
      <c r="A168" s="6">
        <v>1930.5</v>
      </c>
      <c r="B168" s="3">
        <v>9.978305</v>
      </c>
      <c r="C168" s="6">
        <f t="shared" si="1"/>
        <v>89.89213543</v>
      </c>
      <c r="D168" s="3">
        <v>0.0942645</v>
      </c>
      <c r="E168" s="6">
        <v>123268.0859375</v>
      </c>
      <c r="F168" s="6">
        <v>1.0</v>
      </c>
      <c r="G168" s="6">
        <v>9.4524</v>
      </c>
      <c r="H168" s="7">
        <v>0.0</v>
      </c>
      <c r="I168" s="3">
        <v>953.616</v>
      </c>
      <c r="J168" s="3">
        <v>2.539973</v>
      </c>
      <c r="K168" s="3">
        <v>1074.336</v>
      </c>
      <c r="M168" s="3">
        <v>1028.9793701171875</v>
      </c>
    </row>
    <row r="169" ht="12.0" customHeight="1">
      <c r="A169" s="6">
        <v>1930.75</v>
      </c>
      <c r="B169" s="3">
        <v>10.49959</v>
      </c>
      <c r="C169" s="6">
        <f t="shared" si="1"/>
        <v>84.20765524</v>
      </c>
      <c r="D169" s="3">
        <v>0.0922584</v>
      </c>
      <c r="E169" s="6">
        <v>123508.3359375</v>
      </c>
      <c r="F169" s="6">
        <v>1.0</v>
      </c>
      <c r="G169" s="6">
        <v>13.103</v>
      </c>
      <c r="H169" s="7">
        <v>0.0</v>
      </c>
      <c r="I169" s="3">
        <v>912.737</v>
      </c>
      <c r="J169" s="3">
        <v>2.465846</v>
      </c>
      <c r="K169" s="3">
        <v>1083.634</v>
      </c>
      <c r="M169" s="3">
        <v>1037.0794677734375</v>
      </c>
    </row>
    <row r="170" ht="12.0" customHeight="1">
      <c r="A170" s="6">
        <v>1931.0</v>
      </c>
      <c r="B170" s="3">
        <v>11.742</v>
      </c>
      <c r="C170" s="6">
        <f t="shared" si="1"/>
        <v>82.04123835</v>
      </c>
      <c r="D170" s="3">
        <v>0.0893626</v>
      </c>
      <c r="E170" s="6">
        <v>123748.5859375</v>
      </c>
      <c r="F170" s="6">
        <v>1.0</v>
      </c>
      <c r="G170" s="6">
        <v>13.557</v>
      </c>
      <c r="H170" s="7">
        <v>0.0</v>
      </c>
      <c r="I170" s="3">
        <v>918.0713</v>
      </c>
      <c r="J170" s="3">
        <v>1.981135</v>
      </c>
      <c r="K170" s="3">
        <v>1093.033</v>
      </c>
      <c r="M170" s="3">
        <v>1043.7117919921875</v>
      </c>
    </row>
    <row r="171" ht="12.0" customHeight="1">
      <c r="A171" s="6">
        <v>1931.25</v>
      </c>
      <c r="B171" s="3">
        <v>9.467847</v>
      </c>
      <c r="C171" s="6">
        <f t="shared" si="1"/>
        <v>81.12235826</v>
      </c>
      <c r="D171" s="3">
        <v>0.0865373</v>
      </c>
      <c r="E171" s="6">
        <v>123988.8359375</v>
      </c>
      <c r="F171" s="6">
        <v>1.0</v>
      </c>
      <c r="G171" s="6">
        <v>13.983</v>
      </c>
      <c r="H171" s="7">
        <v>0.0</v>
      </c>
      <c r="I171" s="3">
        <v>937.4265</v>
      </c>
      <c r="J171" s="3">
        <v>2.151032</v>
      </c>
      <c r="K171" s="3">
        <v>1102.533</v>
      </c>
      <c r="M171" s="3">
        <v>1050.386962890625</v>
      </c>
    </row>
    <row r="172" ht="12.0" customHeight="1">
      <c r="A172" s="6">
        <v>1931.5</v>
      </c>
      <c r="B172" s="3">
        <v>10.96109</v>
      </c>
      <c r="C172" s="6">
        <f t="shared" si="1"/>
        <v>76.32144891</v>
      </c>
      <c r="D172" s="3">
        <v>0.0844571</v>
      </c>
      <c r="E172" s="6">
        <v>124215.6640625</v>
      </c>
      <c r="F172" s="6">
        <v>1.0</v>
      </c>
      <c r="G172" s="6">
        <v>16.124</v>
      </c>
      <c r="H172" s="7">
        <v>0.0</v>
      </c>
      <c r="I172" s="3">
        <v>903.6712</v>
      </c>
      <c r="J172" s="3">
        <v>1.846392</v>
      </c>
      <c r="K172" s="3">
        <v>1112.137</v>
      </c>
      <c r="M172" s="3">
        <v>1057.10498046875</v>
      </c>
    </row>
    <row r="173" ht="12.0" customHeight="1">
      <c r="A173" s="6">
        <v>1931.75</v>
      </c>
      <c r="B173" s="3">
        <v>8.629058</v>
      </c>
      <c r="C173" s="6">
        <f t="shared" si="1"/>
        <v>70.38750895</v>
      </c>
      <c r="D173" s="3">
        <v>0.081843</v>
      </c>
      <c r="E173" s="6">
        <v>124415.6640625</v>
      </c>
      <c r="F173" s="6">
        <v>1.0</v>
      </c>
      <c r="G173" s="6">
        <v>18.95</v>
      </c>
      <c r="H173" s="7">
        <v>0.0</v>
      </c>
      <c r="I173" s="3">
        <v>860.0309</v>
      </c>
      <c r="J173" s="3">
        <v>1.621441</v>
      </c>
      <c r="K173" s="3">
        <v>1121.844</v>
      </c>
      <c r="M173" s="3">
        <v>1063.8653564453125</v>
      </c>
    </row>
    <row r="174" ht="12.0" customHeight="1">
      <c r="A174" s="6">
        <v>1932.0</v>
      </c>
      <c r="B174" s="3">
        <v>8.451522</v>
      </c>
      <c r="C174" s="6">
        <f t="shared" si="1"/>
        <v>65.11914996</v>
      </c>
      <c r="D174" s="3">
        <v>0.0783108</v>
      </c>
      <c r="E174" s="6">
        <v>124615.6640625</v>
      </c>
      <c r="F174" s="6">
        <v>1.0</v>
      </c>
      <c r="G174" s="6">
        <v>19.696</v>
      </c>
      <c r="H174" s="7">
        <v>0.0</v>
      </c>
      <c r="I174" s="3">
        <v>831.5475</v>
      </c>
      <c r="J174" s="3">
        <v>1.501511</v>
      </c>
      <c r="K174" s="3">
        <v>1131.657</v>
      </c>
      <c r="M174" s="3">
        <v>1069.4443359375</v>
      </c>
    </row>
    <row r="175" ht="12.0" customHeight="1">
      <c r="A175" s="6">
        <v>1932.25</v>
      </c>
      <c r="B175" s="3">
        <v>10.23528</v>
      </c>
      <c r="C175" s="6">
        <f t="shared" si="1"/>
        <v>60.06907436</v>
      </c>
      <c r="D175" s="3">
        <v>0.0757749</v>
      </c>
      <c r="E175" s="6">
        <v>124815.6640625</v>
      </c>
      <c r="F175" s="6">
        <v>1.0</v>
      </c>
      <c r="G175" s="6">
        <v>22.914</v>
      </c>
      <c r="H175" s="7">
        <v>0.0</v>
      </c>
      <c r="I175" s="3">
        <v>792.7305</v>
      </c>
      <c r="J175" s="3">
        <v>1.425442</v>
      </c>
      <c r="K175" s="3">
        <v>1141.576</v>
      </c>
      <c r="M175" s="3">
        <v>1075.052734375</v>
      </c>
    </row>
    <row r="176" ht="12.0" customHeight="1">
      <c r="A176" s="6">
        <v>1932.5</v>
      </c>
      <c r="B176" s="3">
        <v>8.996817</v>
      </c>
      <c r="C176" s="6">
        <f t="shared" si="1"/>
        <v>57.32749525</v>
      </c>
      <c r="D176" s="3">
        <v>0.0748146</v>
      </c>
      <c r="E176" s="6">
        <v>125010.75</v>
      </c>
      <c r="F176" s="6">
        <v>1.0</v>
      </c>
      <c r="G176" s="6">
        <v>24.813</v>
      </c>
      <c r="H176" s="7">
        <v>0.0</v>
      </c>
      <c r="I176" s="3">
        <v>766.2608</v>
      </c>
      <c r="J176" s="3">
        <v>1.52603</v>
      </c>
      <c r="K176" s="3">
        <v>1151.602</v>
      </c>
      <c r="M176" s="3">
        <v>1080.6904296875</v>
      </c>
    </row>
    <row r="177" ht="12.0" customHeight="1">
      <c r="A177" s="6">
        <v>1932.75</v>
      </c>
      <c r="B177" s="3">
        <v>8.316385</v>
      </c>
      <c r="C177" s="6">
        <f t="shared" si="1"/>
        <v>55.81246016</v>
      </c>
      <c r="D177" s="3">
        <v>0.0732196</v>
      </c>
      <c r="E177" s="6">
        <v>125196.0</v>
      </c>
      <c r="F177" s="6">
        <v>1.0</v>
      </c>
      <c r="G177" s="6">
        <v>24.143</v>
      </c>
      <c r="H177" s="7">
        <v>0.0</v>
      </c>
      <c r="I177" s="3">
        <v>762.2612</v>
      </c>
      <c r="J177" s="3">
        <v>1.947017</v>
      </c>
      <c r="K177" s="3">
        <v>1161.736</v>
      </c>
      <c r="M177" s="3">
        <v>1086.357666015625</v>
      </c>
    </row>
    <row r="178" ht="12.0" customHeight="1">
      <c r="A178" s="6">
        <v>1933.0</v>
      </c>
      <c r="B178" s="3">
        <v>8.578256</v>
      </c>
      <c r="C178" s="6">
        <f t="shared" si="1"/>
        <v>50.93121046</v>
      </c>
      <c r="D178" s="3">
        <v>0.0709278</v>
      </c>
      <c r="E178" s="6">
        <v>125381.25</v>
      </c>
      <c r="F178" s="6">
        <v>1.0</v>
      </c>
      <c r="G178" s="6">
        <v>22.761</v>
      </c>
      <c r="H178" s="7">
        <v>0.0</v>
      </c>
      <c r="I178" s="3">
        <v>718.0712</v>
      </c>
      <c r="J178" s="3">
        <v>1.974505</v>
      </c>
      <c r="K178" s="3">
        <v>1171.979</v>
      </c>
      <c r="M178" s="3">
        <v>1091.140625</v>
      </c>
    </row>
    <row r="179" ht="12.0" customHeight="1">
      <c r="A179" s="6">
        <v>1933.25</v>
      </c>
      <c r="B179" s="3">
        <v>8.965272</v>
      </c>
      <c r="C179" s="6">
        <f t="shared" si="1"/>
        <v>55.44118135</v>
      </c>
      <c r="D179" s="3">
        <v>0.0718209</v>
      </c>
      <c r="E179" s="6">
        <v>125566.5</v>
      </c>
      <c r="F179" s="6">
        <v>0.0</v>
      </c>
      <c r="G179" s="6">
        <v>23.437</v>
      </c>
      <c r="H179" s="7">
        <v>0.0</v>
      </c>
      <c r="I179" s="3">
        <v>771.9366</v>
      </c>
      <c r="J179" s="3">
        <v>2.460526</v>
      </c>
      <c r="K179" s="3">
        <v>1182.333</v>
      </c>
      <c r="M179" s="3">
        <v>1095.9447021484375</v>
      </c>
    </row>
    <row r="180" ht="12.0" customHeight="1">
      <c r="A180" s="6">
        <v>1933.5</v>
      </c>
      <c r="B180" s="3">
        <v>7.279022</v>
      </c>
      <c r="C180" s="6">
        <f t="shared" si="1"/>
        <v>63.04677274</v>
      </c>
      <c r="D180" s="3">
        <v>0.0752505</v>
      </c>
      <c r="E180" s="6">
        <v>125756.25</v>
      </c>
      <c r="F180" s="6">
        <v>0.0</v>
      </c>
      <c r="G180" s="6">
        <v>20.985</v>
      </c>
      <c r="H180" s="7">
        <v>0.0</v>
      </c>
      <c r="I180" s="3">
        <v>837.8253</v>
      </c>
      <c r="J180" s="3">
        <v>2.708242</v>
      </c>
      <c r="K180" s="3">
        <v>1192.799</v>
      </c>
      <c r="M180" s="3">
        <v>1100.7698974609375</v>
      </c>
    </row>
    <row r="181" ht="12.0" customHeight="1">
      <c r="A181" s="6">
        <v>1933.75</v>
      </c>
      <c r="B181" s="3">
        <v>10.77745</v>
      </c>
      <c r="C181" s="6">
        <f t="shared" si="1"/>
        <v>59.53143931</v>
      </c>
      <c r="D181" s="3">
        <v>0.0758008</v>
      </c>
      <c r="E181" s="6">
        <v>125955.0</v>
      </c>
      <c r="F181" s="6">
        <v>0.0</v>
      </c>
      <c r="G181" s="6">
        <v>20.592</v>
      </c>
      <c r="H181" s="7">
        <v>0.0</v>
      </c>
      <c r="I181" s="3">
        <v>785.3669</v>
      </c>
      <c r="J181" s="3">
        <v>3.256727</v>
      </c>
      <c r="K181" s="3">
        <v>1203.376</v>
      </c>
      <c r="M181" s="3">
        <v>1105.6163330078125</v>
      </c>
    </row>
    <row r="182" ht="12.0" customHeight="1">
      <c r="A182" s="6">
        <v>1934.0</v>
      </c>
      <c r="B182" s="3">
        <v>11.86049</v>
      </c>
      <c r="C182" s="6">
        <f t="shared" si="1"/>
        <v>64.39709259</v>
      </c>
      <c r="D182" s="3">
        <v>0.0768725</v>
      </c>
      <c r="E182" s="6">
        <v>126153.75</v>
      </c>
      <c r="F182" s="6">
        <v>0.0</v>
      </c>
      <c r="G182" s="6">
        <v>18.688</v>
      </c>
      <c r="H182" s="7">
        <v>0.875</v>
      </c>
      <c r="I182" s="3">
        <v>837.713</v>
      </c>
      <c r="J182" s="3">
        <v>3.339511</v>
      </c>
      <c r="K182" s="3">
        <v>1214.068</v>
      </c>
      <c r="M182" s="3">
        <v>1110.8304443359375</v>
      </c>
    </row>
    <row r="183" ht="12.0" customHeight="1">
      <c r="A183" s="6">
        <v>1934.25</v>
      </c>
      <c r="B183" s="3">
        <v>10.25645</v>
      </c>
      <c r="C183" s="6">
        <f t="shared" si="1"/>
        <v>68.82480644</v>
      </c>
      <c r="D183" s="3">
        <v>0.0771025</v>
      </c>
      <c r="E183" s="6">
        <v>126352.5</v>
      </c>
      <c r="F183" s="6">
        <v>0.0</v>
      </c>
      <c r="G183" s="6">
        <v>19.027</v>
      </c>
      <c r="H183" s="7">
        <v>0.0</v>
      </c>
      <c r="I183" s="3">
        <v>892.6404</v>
      </c>
      <c r="J183" s="3">
        <v>3.443994</v>
      </c>
      <c r="K183" s="3">
        <v>1224.875</v>
      </c>
      <c r="M183" s="3">
        <v>1116.0692138671875</v>
      </c>
    </row>
    <row r="184" ht="12.0" customHeight="1">
      <c r="A184" s="6">
        <v>1934.5</v>
      </c>
      <c r="B184" s="3">
        <v>9.795831</v>
      </c>
      <c r="C184" s="6">
        <f t="shared" si="1"/>
        <v>67.01800738</v>
      </c>
      <c r="D184" s="3">
        <v>0.0780539</v>
      </c>
      <c r="E184" s="6">
        <v>126558.0859375</v>
      </c>
      <c r="F184" s="6">
        <v>0.0</v>
      </c>
      <c r="G184" s="6">
        <v>22.63</v>
      </c>
      <c r="H184" s="7">
        <v>0.0</v>
      </c>
      <c r="I184" s="3">
        <v>858.6119</v>
      </c>
      <c r="J184" s="3">
        <v>3.420507</v>
      </c>
      <c r="K184" s="3">
        <v>1235.797</v>
      </c>
      <c r="M184" s="3">
        <v>1121.3326416015625</v>
      </c>
    </row>
    <row r="185" ht="12.0" customHeight="1">
      <c r="A185" s="6">
        <v>1934.75</v>
      </c>
      <c r="B185" s="3">
        <v>10.88723</v>
      </c>
      <c r="C185" s="6">
        <f t="shared" si="1"/>
        <v>67.00786399</v>
      </c>
      <c r="D185" s="3">
        <v>0.0779311</v>
      </c>
      <c r="E185" s="6">
        <v>126777.3359375</v>
      </c>
      <c r="F185" s="6">
        <v>0.0</v>
      </c>
      <c r="G185" s="6">
        <v>23.51</v>
      </c>
      <c r="H185" s="7">
        <v>0.0</v>
      </c>
      <c r="I185" s="3">
        <v>859.8347</v>
      </c>
      <c r="J185" s="3">
        <v>3.395988</v>
      </c>
      <c r="K185" s="3">
        <v>1246.836</v>
      </c>
      <c r="M185" s="3">
        <v>1126.620849609375</v>
      </c>
    </row>
    <row r="186" ht="12.0" customHeight="1">
      <c r="A186" s="6">
        <v>1935.0</v>
      </c>
      <c r="B186" s="3">
        <v>9.513394</v>
      </c>
      <c r="C186" s="6">
        <f t="shared" si="1"/>
        <v>72.03380477</v>
      </c>
      <c r="D186" s="3">
        <v>0.0788608</v>
      </c>
      <c r="E186" s="6">
        <v>126996.5859375</v>
      </c>
      <c r="F186" s="6">
        <v>0.0</v>
      </c>
      <c r="G186" s="6">
        <v>19.517</v>
      </c>
      <c r="H186" s="7">
        <v>0.0</v>
      </c>
      <c r="I186" s="3">
        <v>913.4298</v>
      </c>
      <c r="J186" s="3">
        <v>3.503835</v>
      </c>
      <c r="K186" s="3">
        <v>1257.993</v>
      </c>
      <c r="M186" s="3">
        <v>1133.58251953125</v>
      </c>
    </row>
    <row r="187" ht="12.0" customHeight="1">
      <c r="A187" s="6">
        <v>1935.25</v>
      </c>
      <c r="B187" s="3">
        <v>10.73357</v>
      </c>
      <c r="C187" s="6">
        <f t="shared" si="1"/>
        <v>72.323556</v>
      </c>
      <c r="D187" s="3">
        <v>0.0790439</v>
      </c>
      <c r="E187" s="6">
        <v>127215.8359375</v>
      </c>
      <c r="F187" s="6">
        <v>0.0</v>
      </c>
      <c r="G187" s="6">
        <v>19.352</v>
      </c>
      <c r="H187" s="7">
        <v>0.0</v>
      </c>
      <c r="I187" s="3">
        <v>914.9796</v>
      </c>
      <c r="J187" s="3">
        <v>3.823277</v>
      </c>
      <c r="K187" s="3">
        <v>1269.27</v>
      </c>
      <c r="M187" s="3">
        <v>1140.5877685546875</v>
      </c>
    </row>
    <row r="188" ht="12.0" customHeight="1">
      <c r="A188" s="6">
        <v>1935.5</v>
      </c>
      <c r="B188" s="3">
        <v>12.72703</v>
      </c>
      <c r="C188" s="6">
        <f t="shared" si="1"/>
        <v>74.19562383</v>
      </c>
      <c r="D188" s="3">
        <v>0.0790439</v>
      </c>
      <c r="E188" s="6">
        <v>127430.25</v>
      </c>
      <c r="F188" s="6">
        <v>0.0</v>
      </c>
      <c r="G188" s="6">
        <v>19.437</v>
      </c>
      <c r="H188" s="7">
        <v>0.0</v>
      </c>
      <c r="I188" s="3">
        <v>938.6635</v>
      </c>
      <c r="J188" s="3">
        <v>3.70927</v>
      </c>
      <c r="K188" s="3">
        <v>1280.666</v>
      </c>
      <c r="M188" s="3">
        <v>1147.6363525390625</v>
      </c>
    </row>
    <row r="189" ht="12.0" customHeight="1">
      <c r="A189" s="6">
        <v>1935.75</v>
      </c>
      <c r="B189" s="3">
        <v>11.82601</v>
      </c>
      <c r="C189" s="6">
        <f t="shared" si="1"/>
        <v>78.49262732</v>
      </c>
      <c r="D189" s="3">
        <v>0.0793715</v>
      </c>
      <c r="E189" s="6">
        <v>127635.0</v>
      </c>
      <c r="F189" s="6">
        <v>0.0</v>
      </c>
      <c r="G189" s="6">
        <v>18.59</v>
      </c>
      <c r="H189" s="7">
        <v>0.0</v>
      </c>
      <c r="I189" s="3">
        <v>988.9271</v>
      </c>
      <c r="J189" s="3">
        <v>3.763619</v>
      </c>
      <c r="K189" s="3">
        <v>1292.184</v>
      </c>
      <c r="M189" s="3">
        <v>1154.7279052734375</v>
      </c>
    </row>
    <row r="190" ht="12.0" customHeight="1">
      <c r="A190" s="6">
        <v>1936.0</v>
      </c>
      <c r="B190" s="3">
        <v>12.21776</v>
      </c>
      <c r="C190" s="6">
        <f t="shared" si="1"/>
        <v>78.76993285</v>
      </c>
      <c r="D190" s="3">
        <v>0.0794299</v>
      </c>
      <c r="E190" s="6">
        <v>127839.75</v>
      </c>
      <c r="F190" s="6">
        <v>0.0</v>
      </c>
      <c r="G190" s="6">
        <v>17.105</v>
      </c>
      <c r="H190" s="7">
        <v>0.0</v>
      </c>
      <c r="I190" s="3">
        <v>991.6912</v>
      </c>
      <c r="J190" s="3">
        <v>4.297721</v>
      </c>
      <c r="K190" s="3">
        <v>1303.825</v>
      </c>
      <c r="M190" s="3">
        <v>1164.116943359375</v>
      </c>
    </row>
    <row r="191" ht="12.0" customHeight="1">
      <c r="A191" s="6">
        <v>1936.25</v>
      </c>
      <c r="B191" s="3">
        <v>13.52224</v>
      </c>
      <c r="C191" s="6">
        <f t="shared" si="1"/>
        <v>83.20780564</v>
      </c>
      <c r="D191" s="3">
        <v>0.0790733</v>
      </c>
      <c r="E191" s="6">
        <v>128044.5</v>
      </c>
      <c r="F191" s="6">
        <v>0.0</v>
      </c>
      <c r="G191" s="6">
        <v>17.491</v>
      </c>
      <c r="H191" s="7">
        <v>0.0</v>
      </c>
      <c r="I191" s="3">
        <v>1052.287</v>
      </c>
      <c r="J191" s="3">
        <v>4.518056</v>
      </c>
      <c r="K191" s="3">
        <v>1315.589</v>
      </c>
      <c r="M191" s="3">
        <v>1173.5819091796875</v>
      </c>
    </row>
    <row r="192" ht="12.0" customHeight="1">
      <c r="A192" s="6">
        <v>1936.5</v>
      </c>
      <c r="B192" s="3">
        <v>13.63163</v>
      </c>
      <c r="C192" s="6">
        <f t="shared" si="1"/>
        <v>86.86650148</v>
      </c>
      <c r="D192" s="3">
        <v>0.0803322</v>
      </c>
      <c r="E192" s="6">
        <v>128246.0</v>
      </c>
      <c r="F192" s="6">
        <v>0.0</v>
      </c>
      <c r="G192" s="6">
        <v>16.286</v>
      </c>
      <c r="H192" s="7">
        <v>0.0</v>
      </c>
      <c r="I192" s="3">
        <v>1081.341</v>
      </c>
      <c r="J192" s="3">
        <v>4.750451</v>
      </c>
      <c r="K192" s="3">
        <v>1327.479</v>
      </c>
      <c r="M192" s="3">
        <v>1183.124267578125</v>
      </c>
    </row>
    <row r="193" ht="12.0" customHeight="1">
      <c r="A193" s="6">
        <v>1936.75</v>
      </c>
      <c r="B193" s="3">
        <v>14.22837</v>
      </c>
      <c r="C193" s="6">
        <f t="shared" si="1"/>
        <v>90.67963393</v>
      </c>
      <c r="D193" s="3">
        <v>0.0812046</v>
      </c>
      <c r="E193" s="6">
        <v>128441.0</v>
      </c>
      <c r="F193" s="6">
        <v>0.0</v>
      </c>
      <c r="G193" s="6">
        <v>15.863</v>
      </c>
      <c r="H193" s="7">
        <v>0.0</v>
      </c>
      <c r="I193" s="3">
        <v>1116.681</v>
      </c>
      <c r="J193" s="3">
        <v>4.833771</v>
      </c>
      <c r="K193" s="3">
        <v>1339.494</v>
      </c>
      <c r="M193" s="3">
        <v>1192.7442626953125</v>
      </c>
    </row>
    <row r="194" ht="12.0" customHeight="1">
      <c r="A194" s="6">
        <v>1937.0</v>
      </c>
      <c r="B194" s="3">
        <v>14.57221</v>
      </c>
      <c r="C194" s="6">
        <f t="shared" si="1"/>
        <v>92.73573298</v>
      </c>
      <c r="D194" s="3">
        <v>0.0833152</v>
      </c>
      <c r="E194" s="6">
        <v>128636.0</v>
      </c>
      <c r="F194" s="6">
        <v>0.0</v>
      </c>
      <c r="G194" s="6">
        <v>14.338</v>
      </c>
      <c r="H194" s="7">
        <v>0.0</v>
      </c>
      <c r="I194" s="3">
        <v>1113.071</v>
      </c>
      <c r="J194" s="3">
        <v>5.798187</v>
      </c>
      <c r="K194" s="3">
        <v>1351.636</v>
      </c>
      <c r="M194" s="3">
        <v>1204.216064453125</v>
      </c>
    </row>
    <row r="195" ht="12.0" customHeight="1">
      <c r="A195" s="6">
        <v>1937.25</v>
      </c>
      <c r="B195" s="3">
        <v>13.1685</v>
      </c>
      <c r="C195" s="6">
        <f t="shared" si="1"/>
        <v>95.93365166</v>
      </c>
      <c r="D195" s="3">
        <v>0.0839626</v>
      </c>
      <c r="E195" s="6">
        <v>128831.0</v>
      </c>
      <c r="F195" s="6">
        <v>1.0</v>
      </c>
      <c r="G195" s="6">
        <v>13.618</v>
      </c>
      <c r="H195" s="7">
        <v>0.0</v>
      </c>
      <c r="I195" s="3">
        <v>1142.576</v>
      </c>
      <c r="J195" s="3">
        <v>6.912961</v>
      </c>
      <c r="K195" s="3">
        <v>1363.906</v>
      </c>
      <c r="M195" s="3">
        <v>1215.7982177734375</v>
      </c>
    </row>
    <row r="196" ht="12.0" customHeight="1">
      <c r="A196" s="6">
        <v>1937.5</v>
      </c>
      <c r="B196" s="3">
        <v>12.90005</v>
      </c>
      <c r="C196" s="6">
        <f t="shared" si="1"/>
        <v>96.17872031</v>
      </c>
      <c r="D196" s="3">
        <v>0.084319</v>
      </c>
      <c r="E196" s="6">
        <v>129045.0</v>
      </c>
      <c r="F196" s="6">
        <v>1.0</v>
      </c>
      <c r="G196" s="6">
        <v>12.937</v>
      </c>
      <c r="H196" s="7">
        <v>0.0</v>
      </c>
      <c r="I196" s="3">
        <v>1140.653</v>
      </c>
      <c r="J196" s="3">
        <v>6.868715</v>
      </c>
      <c r="K196" s="3">
        <v>1376.306</v>
      </c>
      <c r="M196" s="3">
        <v>1227.49169921875</v>
      </c>
    </row>
    <row r="197" ht="12.0" customHeight="1">
      <c r="A197" s="6">
        <v>1937.75</v>
      </c>
      <c r="B197" s="3">
        <v>11.75925</v>
      </c>
      <c r="C197" s="6">
        <f t="shared" si="1"/>
        <v>87.39298672</v>
      </c>
      <c r="D197" s="3">
        <v>0.0822832</v>
      </c>
      <c r="E197" s="6">
        <v>129297.0</v>
      </c>
      <c r="F197" s="6">
        <v>1.0</v>
      </c>
      <c r="G197" s="6">
        <v>15.123</v>
      </c>
      <c r="H197" s="7">
        <v>0.0</v>
      </c>
      <c r="I197" s="3">
        <v>1062.1</v>
      </c>
      <c r="J197" s="3">
        <v>6.820136</v>
      </c>
      <c r="K197" s="3">
        <v>1388.837</v>
      </c>
      <c r="M197" s="3">
        <v>1239.2977294921875</v>
      </c>
    </row>
    <row r="198" ht="12.0" customHeight="1">
      <c r="A198" s="6">
        <v>1938.0</v>
      </c>
      <c r="B198" s="3">
        <v>12.37871</v>
      </c>
      <c r="C198" s="6">
        <f t="shared" si="1"/>
        <v>83.17584332</v>
      </c>
      <c r="D198" s="3">
        <v>0.0814433</v>
      </c>
      <c r="E198" s="6">
        <v>129549.0</v>
      </c>
      <c r="F198" s="6">
        <v>1.0</v>
      </c>
      <c r="G198" s="6">
        <v>18.387</v>
      </c>
      <c r="H198" s="7">
        <v>0.0</v>
      </c>
      <c r="I198" s="3">
        <v>1021.273</v>
      </c>
      <c r="J198" s="3">
        <v>5.84844</v>
      </c>
      <c r="K198" s="3">
        <v>1401.499</v>
      </c>
      <c r="M198" s="3">
        <v>1253.125</v>
      </c>
    </row>
    <row r="199" ht="12.0" customHeight="1">
      <c r="A199" s="6">
        <v>1938.25</v>
      </c>
      <c r="B199" s="3">
        <v>13.1933</v>
      </c>
      <c r="C199" s="6">
        <f t="shared" si="1"/>
        <v>84.17682158</v>
      </c>
      <c r="D199" s="3">
        <v>0.0809219</v>
      </c>
      <c r="E199" s="6">
        <v>129801.0</v>
      </c>
      <c r="F199" s="6">
        <v>1.0</v>
      </c>
      <c r="G199" s="6">
        <v>19.82</v>
      </c>
      <c r="H199" s="7">
        <v>0.076</v>
      </c>
      <c r="I199" s="3">
        <v>1040.223</v>
      </c>
      <c r="J199" s="3">
        <v>5.732067</v>
      </c>
      <c r="K199" s="3">
        <v>1414.294</v>
      </c>
      <c r="M199" s="3">
        <v>1267.1064453125</v>
      </c>
    </row>
    <row r="200" ht="12.0" customHeight="1">
      <c r="A200" s="6">
        <v>1938.5</v>
      </c>
      <c r="B200" s="3">
        <v>15.15524</v>
      </c>
      <c r="C200" s="6">
        <f t="shared" si="1"/>
        <v>89.4625131</v>
      </c>
      <c r="D200" s="3">
        <v>0.0811405</v>
      </c>
      <c r="E200" s="6">
        <v>130057.25</v>
      </c>
      <c r="F200" s="6">
        <v>0.0</v>
      </c>
      <c r="G200" s="6">
        <v>19.205</v>
      </c>
      <c r="H200" s="7">
        <v>0.0</v>
      </c>
      <c r="I200" s="3">
        <v>1102.563</v>
      </c>
      <c r="J200" s="3">
        <v>5.901088</v>
      </c>
      <c r="K200" s="3">
        <v>1427.223</v>
      </c>
      <c r="M200" s="3">
        <v>1281.2432861328125</v>
      </c>
    </row>
    <row r="201" ht="12.0" customHeight="1">
      <c r="A201" s="6">
        <v>1938.75</v>
      </c>
      <c r="B201" s="3">
        <v>16.07275</v>
      </c>
      <c r="C201" s="6">
        <f t="shared" si="1"/>
        <v>92.71905551</v>
      </c>
      <c r="D201" s="3">
        <v>0.0808544</v>
      </c>
      <c r="E201" s="6">
        <v>130322.0</v>
      </c>
      <c r="F201" s="6">
        <v>0.0</v>
      </c>
      <c r="G201" s="6">
        <v>17.374</v>
      </c>
      <c r="H201" s="7">
        <v>0.0</v>
      </c>
      <c r="I201" s="3">
        <v>1146.741</v>
      </c>
      <c r="J201" s="3">
        <v>6.518405</v>
      </c>
      <c r="K201" s="3">
        <v>1440.287</v>
      </c>
      <c r="M201" s="3">
        <v>1295.53857421875</v>
      </c>
    </row>
    <row r="202" ht="12.0" customHeight="1">
      <c r="A202" s="6">
        <v>1939.0</v>
      </c>
      <c r="B202" s="3">
        <v>15.55971</v>
      </c>
      <c r="C202" s="6">
        <f t="shared" si="1"/>
        <v>91.16450317</v>
      </c>
      <c r="D202" s="3">
        <v>0.0803727</v>
      </c>
      <c r="E202" s="6">
        <v>130586.75</v>
      </c>
      <c r="F202" s="6">
        <v>0.0</v>
      </c>
      <c r="G202" s="6">
        <v>17.749</v>
      </c>
      <c r="H202" s="7">
        <v>0.5</v>
      </c>
      <c r="I202" s="3">
        <v>1134.272</v>
      </c>
      <c r="J202" s="3">
        <v>5.800146</v>
      </c>
      <c r="K202" s="3">
        <v>1453.488</v>
      </c>
      <c r="M202" s="3">
        <v>1310.1331787109375</v>
      </c>
    </row>
    <row r="203" ht="12.0" customHeight="1">
      <c r="A203" s="6">
        <v>1939.25</v>
      </c>
      <c r="B203" s="3">
        <v>15.39068</v>
      </c>
      <c r="C203" s="6">
        <f t="shared" si="1"/>
        <v>91.46878252</v>
      </c>
      <c r="D203" s="3">
        <v>0.0797008</v>
      </c>
      <c r="E203" s="6">
        <v>130851.5</v>
      </c>
      <c r="F203" s="6">
        <v>0.0</v>
      </c>
      <c r="G203" s="6">
        <v>17.284</v>
      </c>
      <c r="H203" s="7">
        <v>0.0</v>
      </c>
      <c r="I203" s="3">
        <v>1147.652</v>
      </c>
      <c r="J203" s="3">
        <v>6.102783</v>
      </c>
      <c r="K203" s="3">
        <v>1466.826</v>
      </c>
      <c r="M203" s="3">
        <v>1324.892333984375</v>
      </c>
    </row>
    <row r="204" ht="12.0" customHeight="1">
      <c r="A204" s="6">
        <v>1939.5</v>
      </c>
      <c r="B204" s="3">
        <v>14.71604</v>
      </c>
      <c r="C204" s="6">
        <f t="shared" si="1"/>
        <v>95.01656439</v>
      </c>
      <c r="D204" s="3">
        <v>0.0803304</v>
      </c>
      <c r="E204" s="6">
        <v>131119.171875</v>
      </c>
      <c r="F204" s="6">
        <v>0.0</v>
      </c>
      <c r="G204" s="6">
        <v>16.058</v>
      </c>
      <c r="H204" s="7">
        <v>0.7</v>
      </c>
      <c r="I204" s="3">
        <v>1182.822</v>
      </c>
      <c r="J204" s="3">
        <v>6.411402</v>
      </c>
      <c r="K204" s="3">
        <v>1480.304</v>
      </c>
      <c r="M204" s="3">
        <v>1339.817626953125</v>
      </c>
    </row>
    <row r="205" ht="12.0" customHeight="1">
      <c r="A205" s="6">
        <v>1939.75</v>
      </c>
      <c r="B205" s="3">
        <v>15.13357</v>
      </c>
      <c r="C205" s="6">
        <f t="shared" si="1"/>
        <v>96.26228099</v>
      </c>
      <c r="D205" s="3">
        <v>0.0809162</v>
      </c>
      <c r="E205" s="6">
        <v>131392.671875</v>
      </c>
      <c r="F205" s="6">
        <v>0.0</v>
      </c>
      <c r="G205" s="6">
        <v>15.44</v>
      </c>
      <c r="H205" s="7">
        <v>0.0</v>
      </c>
      <c r="I205" s="3">
        <v>1189.654</v>
      </c>
      <c r="J205" s="3">
        <v>6.885671</v>
      </c>
      <c r="K205" s="3">
        <v>1493.92</v>
      </c>
      <c r="M205" s="3">
        <v>1354.9111328125</v>
      </c>
    </row>
    <row r="206" ht="12.0" customHeight="1">
      <c r="A206" s="6">
        <v>1940.0</v>
      </c>
      <c r="B206" s="3">
        <v>15.15303</v>
      </c>
      <c r="C206" s="6">
        <f t="shared" si="1"/>
        <v>99.61188977</v>
      </c>
      <c r="D206" s="3">
        <v>0.0806885</v>
      </c>
      <c r="E206" s="6">
        <v>131666.171875</v>
      </c>
      <c r="F206" s="6">
        <v>0.0</v>
      </c>
      <c r="G206" s="6">
        <v>15.057</v>
      </c>
      <c r="H206" s="7">
        <v>0.0</v>
      </c>
      <c r="I206" s="3">
        <v>1234.524</v>
      </c>
      <c r="J206" s="3">
        <v>7.353699</v>
      </c>
      <c r="K206" s="3">
        <v>1507.678</v>
      </c>
      <c r="M206" s="3">
        <v>1370.01123046875</v>
      </c>
    </row>
    <row r="207" ht="12.0" customHeight="1">
      <c r="A207" s="6">
        <v>1940.25</v>
      </c>
      <c r="B207" s="3">
        <v>14.81771</v>
      </c>
      <c r="C207" s="6">
        <f t="shared" si="1"/>
        <v>100.7727555</v>
      </c>
      <c r="D207" s="3">
        <v>0.0812081</v>
      </c>
      <c r="E207" s="6">
        <v>131939.671875</v>
      </c>
      <c r="F207" s="6">
        <v>0.0</v>
      </c>
      <c r="G207" s="6">
        <v>14.248</v>
      </c>
      <c r="H207" s="7">
        <v>31.6</v>
      </c>
      <c r="I207" s="3">
        <v>1240.92</v>
      </c>
      <c r="J207" s="3">
        <v>7.691328</v>
      </c>
      <c r="K207" s="3">
        <v>1521.579</v>
      </c>
      <c r="M207" s="3">
        <v>1385.2803955078125</v>
      </c>
    </row>
    <row r="208" ht="12.0" customHeight="1">
      <c r="A208" s="6">
        <v>1940.5</v>
      </c>
      <c r="B208" s="3">
        <v>14.90522</v>
      </c>
      <c r="C208" s="6">
        <f t="shared" si="1"/>
        <v>104.0498617</v>
      </c>
      <c r="D208" s="3">
        <v>0.0813307</v>
      </c>
      <c r="E208" s="6">
        <v>132228.671875</v>
      </c>
      <c r="F208" s="6">
        <v>0.0</v>
      </c>
      <c r="G208" s="6">
        <v>13.327</v>
      </c>
      <c r="H208" s="7">
        <v>0.0</v>
      </c>
      <c r="I208" s="3">
        <v>1279.343</v>
      </c>
      <c r="J208" s="3">
        <v>8.29795</v>
      </c>
      <c r="K208" s="3">
        <v>1535.622</v>
      </c>
      <c r="M208" s="3">
        <v>1400.718994140625</v>
      </c>
    </row>
    <row r="209" ht="12.0" customHeight="1">
      <c r="A209" s="6">
        <v>1940.75</v>
      </c>
      <c r="B209" s="3">
        <v>17.52403</v>
      </c>
      <c r="C209" s="6">
        <f t="shared" si="1"/>
        <v>107.4048981</v>
      </c>
      <c r="D209" s="3">
        <v>0.0820127</v>
      </c>
      <c r="E209" s="6">
        <v>132548.671875</v>
      </c>
      <c r="F209" s="6">
        <v>0.0</v>
      </c>
      <c r="G209" s="6">
        <v>13.355</v>
      </c>
      <c r="H209" s="7">
        <v>4.9</v>
      </c>
      <c r="I209" s="3">
        <v>1309.613</v>
      </c>
      <c r="J209" s="3">
        <v>9.457023</v>
      </c>
      <c r="K209" s="3">
        <v>1549.811</v>
      </c>
      <c r="M209" s="3">
        <v>1416.3297119140625</v>
      </c>
    </row>
    <row r="210" ht="12.0" customHeight="1">
      <c r="A210" s="6">
        <v>1941.0</v>
      </c>
      <c r="B210" s="3">
        <v>21.09405</v>
      </c>
      <c r="C210" s="6">
        <f t="shared" si="1"/>
        <v>115.3589861</v>
      </c>
      <c r="D210" s="3">
        <v>0.0832686</v>
      </c>
      <c r="E210" s="6">
        <v>132868.671875</v>
      </c>
      <c r="F210" s="6">
        <v>0.0</v>
      </c>
      <c r="G210" s="6">
        <v>11.26</v>
      </c>
      <c r="H210" s="7">
        <v>7.0</v>
      </c>
      <c r="I210" s="3">
        <v>1385.384</v>
      </c>
      <c r="J210" s="3">
        <v>12.40952</v>
      </c>
      <c r="K210" s="3">
        <v>1564.145</v>
      </c>
      <c r="M210" s="3">
        <v>1431.425537109375</v>
      </c>
    </row>
    <row r="211" ht="12.0" customHeight="1">
      <c r="A211" s="6">
        <v>1941.25</v>
      </c>
      <c r="B211" s="3">
        <v>24.17447</v>
      </c>
      <c r="C211" s="6">
        <f t="shared" si="1"/>
        <v>126.1864261</v>
      </c>
      <c r="D211" s="3">
        <v>0.0855351</v>
      </c>
      <c r="E211" s="6">
        <v>133188.671875</v>
      </c>
      <c r="F211" s="6">
        <v>0.0</v>
      </c>
      <c r="G211" s="6">
        <v>10.502</v>
      </c>
      <c r="H211" s="7">
        <v>44.3</v>
      </c>
      <c r="I211" s="3">
        <v>1475.259</v>
      </c>
      <c r="J211" s="3">
        <v>14.33052</v>
      </c>
      <c r="K211" s="3">
        <v>1578.627</v>
      </c>
      <c r="M211" s="3">
        <v>1446.682861328125</v>
      </c>
    </row>
    <row r="212" ht="12.0" customHeight="1">
      <c r="A212" s="6">
        <v>1941.5</v>
      </c>
      <c r="B212" s="3">
        <v>29.29959</v>
      </c>
      <c r="C212" s="6">
        <f t="shared" si="1"/>
        <v>133.2342981</v>
      </c>
      <c r="D212" s="3">
        <v>0.0879928</v>
      </c>
      <c r="E212" s="6">
        <v>133523.5</v>
      </c>
      <c r="F212" s="6">
        <v>0.0</v>
      </c>
      <c r="G212" s="6">
        <v>8.8803</v>
      </c>
      <c r="H212" s="7">
        <v>0.0</v>
      </c>
      <c r="I212" s="3">
        <v>1514.15</v>
      </c>
      <c r="J212" s="3">
        <v>15.91861</v>
      </c>
      <c r="K212" s="3">
        <v>1593.256</v>
      </c>
      <c r="M212" s="3">
        <v>1462.1029052734375</v>
      </c>
    </row>
    <row r="213" ht="12.0" customHeight="1">
      <c r="A213" s="6">
        <v>1941.75</v>
      </c>
      <c r="B213" s="3">
        <v>37.03188</v>
      </c>
      <c r="C213" s="6">
        <f t="shared" si="1"/>
        <v>143.4167452</v>
      </c>
      <c r="D213" s="3">
        <v>0.0904035</v>
      </c>
      <c r="E213" s="6">
        <v>133888.0</v>
      </c>
      <c r="F213" s="6">
        <v>0.0</v>
      </c>
      <c r="G213" s="6">
        <v>7.1106</v>
      </c>
      <c r="H213" s="7">
        <v>97.0</v>
      </c>
      <c r="I213" s="3">
        <v>1586.407</v>
      </c>
      <c r="J213" s="3">
        <v>16.94135</v>
      </c>
      <c r="K213" s="3">
        <v>1608.036</v>
      </c>
      <c r="M213" s="3">
        <v>1477.6866455078125</v>
      </c>
    </row>
    <row r="214" ht="12.0" customHeight="1">
      <c r="A214" s="6">
        <v>1942.0</v>
      </c>
      <c r="B214" s="3">
        <v>43.53841</v>
      </c>
      <c r="C214" s="6">
        <f t="shared" si="1"/>
        <v>147.1363327</v>
      </c>
      <c r="D214" s="3">
        <v>0.0919243</v>
      </c>
      <c r="E214" s="6">
        <v>134252.5</v>
      </c>
      <c r="F214" s="6">
        <v>0.0</v>
      </c>
      <c r="G214" s="6">
        <v>6.5297</v>
      </c>
      <c r="H214" s="7">
        <v>0.0</v>
      </c>
      <c r="I214" s="3">
        <v>1600.625</v>
      </c>
      <c r="J214" s="3">
        <v>20.55323</v>
      </c>
      <c r="K214" s="3">
        <v>1622.966</v>
      </c>
      <c r="M214" s="3">
        <v>1495.5999755859375</v>
      </c>
    </row>
    <row r="215" ht="12.0" customHeight="1">
      <c r="A215" s="6">
        <v>1942.25</v>
      </c>
      <c r="B215" s="3">
        <v>58.91716</v>
      </c>
      <c r="C215" s="6">
        <f t="shared" si="1"/>
        <v>160.1032155</v>
      </c>
      <c r="D215" s="3">
        <v>0.0933798</v>
      </c>
      <c r="E215" s="6">
        <v>134617.0</v>
      </c>
      <c r="F215" s="6">
        <v>0.0</v>
      </c>
      <c r="G215" s="6">
        <v>5.0108</v>
      </c>
      <c r="H215" s="7">
        <v>29.0</v>
      </c>
      <c r="I215" s="3">
        <v>1714.538</v>
      </c>
      <c r="J215" s="3">
        <v>21.26633</v>
      </c>
      <c r="K215" s="3">
        <v>1638.048</v>
      </c>
      <c r="M215" s="3">
        <v>1513.73046875</v>
      </c>
    </row>
    <row r="216" ht="12.0" customHeight="1">
      <c r="A216" s="6">
        <v>1942.5</v>
      </c>
      <c r="B216" s="3">
        <v>74.5041</v>
      </c>
      <c r="C216" s="6">
        <f t="shared" si="1"/>
        <v>171.1076821</v>
      </c>
      <c r="D216" s="3">
        <v>0.0940335</v>
      </c>
      <c r="E216" s="6">
        <v>135016.578125</v>
      </c>
      <c r="F216" s="6">
        <v>0.0</v>
      </c>
      <c r="G216" s="6">
        <v>3.7606</v>
      </c>
      <c r="H216" s="7">
        <v>66.2</v>
      </c>
      <c r="I216" s="3">
        <v>1819.646</v>
      </c>
      <c r="J216" s="3">
        <v>22.66184</v>
      </c>
      <c r="K216" s="3">
        <v>1653.283</v>
      </c>
      <c r="M216" s="3">
        <v>1532.0814208984375</v>
      </c>
    </row>
    <row r="217" ht="12.0" customHeight="1">
      <c r="A217" s="6">
        <v>1942.75</v>
      </c>
      <c r="B217" s="3">
        <v>85.04033</v>
      </c>
      <c r="C217" s="6">
        <f t="shared" si="1"/>
        <v>186.301835</v>
      </c>
      <c r="D217" s="3">
        <v>0.0954224</v>
      </c>
      <c r="E217" s="6">
        <v>135486.328125</v>
      </c>
      <c r="F217" s="6">
        <v>0.0</v>
      </c>
      <c r="G217" s="6">
        <v>3.1022</v>
      </c>
      <c r="H217" s="7">
        <v>0.0</v>
      </c>
      <c r="I217" s="3">
        <v>1952.391</v>
      </c>
      <c r="J217" s="3">
        <v>24.7186</v>
      </c>
      <c r="K217" s="3">
        <v>1668.672</v>
      </c>
      <c r="M217" s="3">
        <v>1550.654296875</v>
      </c>
    </row>
    <row r="218" ht="12.0" customHeight="1">
      <c r="A218" s="6">
        <v>1943.0</v>
      </c>
      <c r="B218" s="3">
        <v>93.41652</v>
      </c>
      <c r="C218" s="6">
        <f t="shared" si="1"/>
        <v>192.0252237</v>
      </c>
      <c r="D218" s="3">
        <v>0.0962394</v>
      </c>
      <c r="E218" s="6">
        <v>135956.078125</v>
      </c>
      <c r="F218" s="6">
        <v>0.0</v>
      </c>
      <c r="G218" s="6">
        <v>2.3137</v>
      </c>
      <c r="H218" s="7">
        <v>23.0</v>
      </c>
      <c r="I218" s="3">
        <v>1995.287</v>
      </c>
      <c r="J218" s="3">
        <v>34.23733</v>
      </c>
      <c r="K218" s="3">
        <v>1684.217</v>
      </c>
      <c r="M218" s="3">
        <v>1571.2103271484375</v>
      </c>
    </row>
    <row r="219" ht="12.0" customHeight="1">
      <c r="A219" s="6">
        <v>1943.25</v>
      </c>
      <c r="B219" s="3">
        <v>97.69301</v>
      </c>
      <c r="C219" s="6">
        <f t="shared" si="1"/>
        <v>201.6468475</v>
      </c>
      <c r="D219" s="3">
        <v>0.0987359</v>
      </c>
      <c r="E219" s="6">
        <v>136425.828125</v>
      </c>
      <c r="F219" s="6">
        <v>0.0</v>
      </c>
      <c r="G219" s="6">
        <v>2.0073</v>
      </c>
      <c r="H219" s="7">
        <v>0.0</v>
      </c>
      <c r="I219" s="3">
        <v>2042.285</v>
      </c>
      <c r="J219" s="3">
        <v>35.65247</v>
      </c>
      <c r="K219" s="3">
        <v>1699.92</v>
      </c>
      <c r="M219" s="3">
        <v>1592.0396728515625</v>
      </c>
    </row>
    <row r="220" ht="12.0" customHeight="1">
      <c r="A220" s="6">
        <v>1943.5</v>
      </c>
      <c r="B220" s="3">
        <v>98.4669</v>
      </c>
      <c r="C220" s="6">
        <f t="shared" si="1"/>
        <v>205.89175</v>
      </c>
      <c r="D220" s="3">
        <v>0.0982084</v>
      </c>
      <c r="E220" s="6">
        <v>136877.171875</v>
      </c>
      <c r="F220" s="6">
        <v>0.0</v>
      </c>
      <c r="G220" s="6">
        <v>1.9609</v>
      </c>
      <c r="H220" s="7">
        <v>0.0</v>
      </c>
      <c r="I220" s="3">
        <v>2096.478</v>
      </c>
      <c r="J220" s="3">
        <v>41.98225</v>
      </c>
      <c r="K220" s="3">
        <v>1715.78</v>
      </c>
      <c r="M220" s="3">
        <v>1613.144287109375</v>
      </c>
    </row>
    <row r="221" ht="12.0" customHeight="1">
      <c r="A221" s="6">
        <v>1943.75</v>
      </c>
      <c r="B221" s="3">
        <v>102.8236</v>
      </c>
      <c r="C221" s="6">
        <f t="shared" si="1"/>
        <v>213.0853863</v>
      </c>
      <c r="D221" s="3">
        <v>0.0986164</v>
      </c>
      <c r="E221" s="6">
        <v>137291.671875</v>
      </c>
      <c r="F221" s="6">
        <v>0.0</v>
      </c>
      <c r="G221" s="6">
        <v>1.5178</v>
      </c>
      <c r="H221" s="7">
        <v>0.0</v>
      </c>
      <c r="I221" s="3">
        <v>2160.75</v>
      </c>
      <c r="J221" s="3">
        <v>42.12795</v>
      </c>
      <c r="K221" s="3">
        <v>1731.8</v>
      </c>
      <c r="M221" s="3">
        <v>1634.52880859375</v>
      </c>
    </row>
    <row r="222" ht="12.0" customHeight="1">
      <c r="A222" s="6">
        <v>1944.0</v>
      </c>
      <c r="B222" s="3">
        <v>106.6704</v>
      </c>
      <c r="C222" s="6">
        <f t="shared" si="1"/>
        <v>218.044672</v>
      </c>
      <c r="D222" s="3">
        <v>0.0990216</v>
      </c>
      <c r="E222" s="6">
        <v>137706.171875</v>
      </c>
      <c r="F222" s="6">
        <v>0.0</v>
      </c>
      <c r="G222" s="6">
        <v>1.3123</v>
      </c>
      <c r="H222" s="7">
        <v>0.0</v>
      </c>
      <c r="I222" s="3">
        <v>2201.991</v>
      </c>
      <c r="J222" s="3">
        <v>39.50396</v>
      </c>
      <c r="K222" s="3">
        <v>1747.979</v>
      </c>
      <c r="M222" s="3">
        <v>1658.3414306640625</v>
      </c>
    </row>
    <row r="223" ht="12.0" customHeight="1">
      <c r="A223" s="6">
        <v>1944.25</v>
      </c>
      <c r="B223" s="3">
        <v>108.3807</v>
      </c>
      <c r="C223" s="6">
        <f t="shared" si="1"/>
        <v>222.387153</v>
      </c>
      <c r="D223" s="3">
        <v>0.1000056</v>
      </c>
      <c r="E223" s="6">
        <v>138120.671875</v>
      </c>
      <c r="F223" s="6">
        <v>0.0</v>
      </c>
      <c r="G223" s="6">
        <v>1.3854</v>
      </c>
      <c r="H223" s="7">
        <v>-34.0</v>
      </c>
      <c r="I223" s="3">
        <v>2223.747</v>
      </c>
      <c r="J223" s="3">
        <v>40.41321</v>
      </c>
      <c r="K223" s="3">
        <v>1764.321</v>
      </c>
      <c r="M223" s="3">
        <v>1682.5010986328125</v>
      </c>
    </row>
    <row r="224" ht="12.0" customHeight="1">
      <c r="A224" s="6">
        <v>1944.5</v>
      </c>
      <c r="B224" s="3">
        <v>109.2759</v>
      </c>
      <c r="C224" s="6">
        <f t="shared" si="1"/>
        <v>227.5912719</v>
      </c>
      <c r="D224" s="3">
        <v>0.101003</v>
      </c>
      <c r="E224" s="6">
        <v>138524.578125</v>
      </c>
      <c r="F224" s="6">
        <v>0.0</v>
      </c>
      <c r="G224" s="6">
        <v>1.268</v>
      </c>
      <c r="H224" s="7">
        <v>0.0</v>
      </c>
      <c r="I224" s="3">
        <v>2253.312</v>
      </c>
      <c r="J224" s="3">
        <v>40.17277</v>
      </c>
      <c r="K224" s="3">
        <v>1780.825</v>
      </c>
      <c r="M224" s="3">
        <v>1707.0118408203125</v>
      </c>
    </row>
    <row r="225" ht="12.0" customHeight="1">
      <c r="A225" s="6">
        <v>1944.75</v>
      </c>
      <c r="B225" s="3">
        <v>110.4729</v>
      </c>
      <c r="C225" s="6">
        <f t="shared" si="1"/>
        <v>230.246895</v>
      </c>
      <c r="D225" s="3">
        <v>0.1010497</v>
      </c>
      <c r="E225" s="6">
        <v>138907.328125</v>
      </c>
      <c r="F225" s="6">
        <v>0.0</v>
      </c>
      <c r="G225" s="6">
        <v>0.94011</v>
      </c>
      <c r="H225" s="7">
        <v>19.4</v>
      </c>
      <c r="I225" s="3">
        <v>2278.551</v>
      </c>
      <c r="J225" s="3">
        <v>40.31006</v>
      </c>
      <c r="K225" s="3">
        <v>1797.495</v>
      </c>
      <c r="M225" s="3">
        <v>1731.8804931640625</v>
      </c>
    </row>
    <row r="226" ht="12.0" customHeight="1">
      <c r="A226" s="6">
        <v>1945.0</v>
      </c>
      <c r="B226" s="3">
        <v>110.6101</v>
      </c>
      <c r="C226" s="6">
        <f t="shared" si="1"/>
        <v>235.2379054</v>
      </c>
      <c r="D226" s="3">
        <v>0.1011018</v>
      </c>
      <c r="E226" s="6">
        <v>139290.078125</v>
      </c>
      <c r="F226" s="6">
        <v>1.0</v>
      </c>
      <c r="G226" s="6">
        <v>1.0177</v>
      </c>
      <c r="H226" s="7">
        <v>0.0</v>
      </c>
      <c r="I226" s="3">
        <v>2326.743</v>
      </c>
      <c r="J226" s="3">
        <v>43.36826</v>
      </c>
      <c r="K226" s="3">
        <v>1814.329</v>
      </c>
      <c r="M226" s="3">
        <v>1756.8558349609375</v>
      </c>
    </row>
    <row r="227" ht="12.0" customHeight="1">
      <c r="A227" s="6">
        <v>1945.25</v>
      </c>
      <c r="B227" s="3">
        <v>111.2853</v>
      </c>
      <c r="C227" s="6">
        <f t="shared" si="1"/>
        <v>238.2825452</v>
      </c>
      <c r="D227" s="3">
        <v>0.101996</v>
      </c>
      <c r="E227" s="6">
        <v>139672.828125</v>
      </c>
      <c r="F227" s="6">
        <v>1.0</v>
      </c>
      <c r="G227" s="6">
        <v>1.1067</v>
      </c>
      <c r="H227" s="7">
        <v>0.0</v>
      </c>
      <c r="I227" s="3">
        <v>2336.195</v>
      </c>
      <c r="J227" s="3">
        <v>43.80049</v>
      </c>
      <c r="K227" s="3">
        <v>1831.33</v>
      </c>
      <c r="M227" s="3">
        <v>1782.19140625</v>
      </c>
    </row>
    <row r="228" ht="12.0" customHeight="1">
      <c r="A228" s="6">
        <v>1945.5</v>
      </c>
      <c r="B228" s="3">
        <v>95.28404</v>
      </c>
      <c r="C228" s="6">
        <f t="shared" si="1"/>
        <v>226.7759224</v>
      </c>
      <c r="D228" s="3">
        <v>0.1035646</v>
      </c>
      <c r="E228" s="6">
        <v>140049.75</v>
      </c>
      <c r="F228" s="6">
        <v>1.0</v>
      </c>
      <c r="G228" s="6">
        <v>2.0729</v>
      </c>
      <c r="H228" s="7">
        <v>-41.0</v>
      </c>
      <c r="I228" s="3">
        <v>2189.705</v>
      </c>
      <c r="J228" s="3">
        <v>40.02625</v>
      </c>
      <c r="K228" s="3">
        <v>1848.5</v>
      </c>
      <c r="M228" s="3">
        <v>1807.8924560546875</v>
      </c>
    </row>
    <row r="229" ht="12.0" customHeight="1">
      <c r="A229" s="6">
        <v>1945.75</v>
      </c>
      <c r="B229" s="3">
        <v>69.2205</v>
      </c>
      <c r="C229" s="6">
        <f t="shared" si="1"/>
        <v>211.6610425</v>
      </c>
      <c r="D229" s="3">
        <v>0.1048576</v>
      </c>
      <c r="E229" s="6">
        <v>140415.0</v>
      </c>
      <c r="F229" s="6">
        <v>1.0</v>
      </c>
      <c r="G229" s="6">
        <v>3.5264</v>
      </c>
      <c r="H229" s="7">
        <v>0.0</v>
      </c>
      <c r="I229" s="3">
        <v>2018.557</v>
      </c>
      <c r="J229" s="3">
        <v>38.805</v>
      </c>
      <c r="K229" s="3">
        <v>1865.838</v>
      </c>
      <c r="M229" s="3">
        <v>1833.9639892578125</v>
      </c>
    </row>
    <row r="230" ht="12.0" customHeight="1">
      <c r="A230" s="6">
        <v>1946.0</v>
      </c>
      <c r="B230" s="3">
        <v>47.35505</v>
      </c>
      <c r="C230" s="6">
        <f t="shared" si="1"/>
        <v>212.5594326</v>
      </c>
      <c r="D230" s="3">
        <v>0.1068402</v>
      </c>
      <c r="E230" s="6">
        <v>140780.25</v>
      </c>
      <c r="F230" s="6">
        <v>0.0</v>
      </c>
      <c r="G230" s="6">
        <v>3.9975</v>
      </c>
      <c r="H230" s="7">
        <v>0.0</v>
      </c>
      <c r="I230" s="3">
        <v>1989.508</v>
      </c>
      <c r="J230" s="3">
        <v>35.14501</v>
      </c>
      <c r="K230" s="3">
        <v>1883.347</v>
      </c>
      <c r="M230" s="3">
        <v>1859.1328125</v>
      </c>
    </row>
    <row r="231" ht="12.0" customHeight="1">
      <c r="A231" s="6">
        <v>1946.25</v>
      </c>
      <c r="B231" s="3">
        <v>41.58944</v>
      </c>
      <c r="C231" s="6">
        <f t="shared" si="1"/>
        <v>222.5875947</v>
      </c>
      <c r="D231" s="3">
        <v>0.1100406</v>
      </c>
      <c r="E231" s="6">
        <v>141145.5</v>
      </c>
      <c r="F231" s="6">
        <v>0.0</v>
      </c>
      <c r="G231" s="6">
        <v>4.0317</v>
      </c>
      <c r="H231" s="7">
        <v>0.0</v>
      </c>
      <c r="I231" s="3">
        <v>2022.777</v>
      </c>
      <c r="J231" s="3">
        <v>37.96055</v>
      </c>
      <c r="K231" s="3">
        <v>1901.029</v>
      </c>
      <c r="M231" s="3">
        <v>1884.6478271484375</v>
      </c>
    </row>
    <row r="232" ht="12.0" customHeight="1">
      <c r="A232" s="6">
        <v>1946.5</v>
      </c>
      <c r="B232" s="3">
        <v>41.00173</v>
      </c>
      <c r="C232" s="6">
        <f t="shared" si="1"/>
        <v>234.4192171</v>
      </c>
      <c r="D232" s="3">
        <v>0.1204749</v>
      </c>
      <c r="E232" s="6">
        <v>141617.078125</v>
      </c>
      <c r="F232" s="6">
        <v>0.0</v>
      </c>
      <c r="G232" s="6">
        <v>3.7294</v>
      </c>
      <c r="H232" s="7">
        <v>3.7</v>
      </c>
      <c r="I232" s="3">
        <v>1945.793</v>
      </c>
      <c r="J232" s="3">
        <v>41.42546</v>
      </c>
      <c r="K232" s="3">
        <v>1918.882</v>
      </c>
      <c r="M232" s="3">
        <v>1910.51220703125</v>
      </c>
    </row>
    <row r="233" ht="12.0" customHeight="1">
      <c r="A233" s="6">
        <v>1946.75</v>
      </c>
      <c r="B233" s="3">
        <v>42.85379</v>
      </c>
      <c r="C233" s="6">
        <f t="shared" si="1"/>
        <v>240.1483782</v>
      </c>
      <c r="D233" s="3">
        <v>0.1273644</v>
      </c>
      <c r="E233" s="6">
        <v>142301.328125</v>
      </c>
      <c r="F233" s="6">
        <v>0.0</v>
      </c>
      <c r="G233" s="6">
        <v>4.0272</v>
      </c>
      <c r="H233" s="7">
        <v>0.0</v>
      </c>
      <c r="I233" s="3">
        <v>1885.522</v>
      </c>
      <c r="J233" s="3">
        <v>43.46898</v>
      </c>
      <c r="K233" s="3">
        <v>1936.911</v>
      </c>
      <c r="M233" s="3">
        <v>1936.7315673828125</v>
      </c>
    </row>
    <row r="234" ht="12.0" customHeight="1">
      <c r="A234" s="6">
        <v>1947.0</v>
      </c>
      <c r="B234" s="3">
        <v>40.1</v>
      </c>
      <c r="C234" s="6">
        <f t="shared" si="1"/>
        <v>243.08927</v>
      </c>
      <c r="D234" s="3">
        <v>0.12566</v>
      </c>
      <c r="E234" s="6">
        <v>142985.578125</v>
      </c>
      <c r="F234" s="6">
        <v>0.0</v>
      </c>
      <c r="G234" s="6">
        <v>3.7732</v>
      </c>
      <c r="H234" s="7">
        <v>0.0</v>
      </c>
      <c r="I234" s="3">
        <v>1934.5</v>
      </c>
      <c r="J234" s="3">
        <v>43.4</v>
      </c>
      <c r="K234" s="3">
        <v>1955.115</v>
      </c>
      <c r="M234" s="3">
        <v>1959.1510009765625</v>
      </c>
    </row>
    <row r="235" ht="12.0" customHeight="1">
      <c r="A235" s="6">
        <v>1947.25</v>
      </c>
      <c r="B235" s="3">
        <v>40.3</v>
      </c>
      <c r="C235" s="6">
        <f t="shared" si="1"/>
        <v>246.271635</v>
      </c>
      <c r="D235" s="3">
        <v>0.12745</v>
      </c>
      <c r="E235" s="6">
        <v>143669.828125</v>
      </c>
      <c r="F235" s="6">
        <v>0.0</v>
      </c>
      <c r="G235" s="6">
        <v>4.0634</v>
      </c>
      <c r="H235" s="7">
        <v>7.8</v>
      </c>
      <c r="I235" s="3">
        <v>1932.3</v>
      </c>
      <c r="J235" s="3">
        <v>42.5</v>
      </c>
      <c r="K235" s="3">
        <v>1973.495</v>
      </c>
      <c r="M235" s="3">
        <v>1981.8299560546875</v>
      </c>
    </row>
    <row r="236" ht="12.0" customHeight="1">
      <c r="A236" s="6">
        <v>1947.5</v>
      </c>
      <c r="B236" s="3">
        <v>39.8</v>
      </c>
      <c r="C236" s="6">
        <f t="shared" si="1"/>
        <v>250.108971</v>
      </c>
      <c r="D236" s="3">
        <v>0.12957</v>
      </c>
      <c r="E236" s="6">
        <v>144334.75</v>
      </c>
      <c r="F236" s="6">
        <v>0.0</v>
      </c>
      <c r="G236" s="6">
        <v>4.0526</v>
      </c>
      <c r="H236" s="7">
        <v>0.0</v>
      </c>
      <c r="I236" s="3">
        <v>1930.3</v>
      </c>
      <c r="J236" s="3">
        <v>41.6</v>
      </c>
      <c r="K236" s="3">
        <v>1992.054</v>
      </c>
      <c r="M236" s="3">
        <v>2004.7723388671875</v>
      </c>
    </row>
    <row r="237" ht="12.0" customHeight="1">
      <c r="A237" s="6">
        <v>1947.75</v>
      </c>
      <c r="B237" s="3">
        <v>40.0</v>
      </c>
      <c r="C237" s="6">
        <f t="shared" si="1"/>
        <v>260.302532</v>
      </c>
      <c r="D237" s="3">
        <v>0.13276</v>
      </c>
      <c r="E237" s="6">
        <v>144961.0</v>
      </c>
      <c r="F237" s="6">
        <v>0.0</v>
      </c>
      <c r="G237" s="6">
        <v>3.7107</v>
      </c>
      <c r="H237" s="7">
        <v>0.0</v>
      </c>
      <c r="I237" s="3">
        <v>1960.7</v>
      </c>
      <c r="J237" s="3">
        <v>43.8</v>
      </c>
      <c r="K237" s="3">
        <v>2010.792</v>
      </c>
      <c r="M237" s="3">
        <v>2027.9793701171875</v>
      </c>
    </row>
    <row r="238" ht="12.0" customHeight="1">
      <c r="A238" s="6">
        <v>1948.0</v>
      </c>
      <c r="B238" s="3">
        <v>41.2</v>
      </c>
      <c r="C238" s="6">
        <f t="shared" si="1"/>
        <v>266.175205</v>
      </c>
      <c r="D238" s="3">
        <v>0.13379</v>
      </c>
      <c r="E238" s="6">
        <v>145587.25</v>
      </c>
      <c r="F238" s="6">
        <v>0.0</v>
      </c>
      <c r="G238" s="6">
        <v>3.7</v>
      </c>
      <c r="H238" s="7">
        <v>1.8</v>
      </c>
      <c r="I238" s="3">
        <v>1989.5</v>
      </c>
      <c r="J238" s="3">
        <v>44.0</v>
      </c>
      <c r="K238" s="3">
        <v>2029.712</v>
      </c>
      <c r="M238" s="3">
        <v>2047.5772705078125</v>
      </c>
    </row>
    <row r="239" ht="12.0" customHeight="1">
      <c r="A239" s="6">
        <v>1948.25</v>
      </c>
      <c r="B239" s="3">
        <v>43.1</v>
      </c>
      <c r="C239" s="6">
        <f t="shared" si="1"/>
        <v>272.895843</v>
      </c>
      <c r="D239" s="3">
        <v>0.13497</v>
      </c>
      <c r="E239" s="6">
        <v>146213.5</v>
      </c>
      <c r="F239" s="6">
        <v>0.0</v>
      </c>
      <c r="G239" s="6">
        <v>3.7</v>
      </c>
      <c r="H239" s="7">
        <v>3.5</v>
      </c>
      <c r="I239" s="3">
        <v>2021.9</v>
      </c>
      <c r="J239" s="3">
        <v>42.5</v>
      </c>
      <c r="K239" s="3">
        <v>2048.813</v>
      </c>
      <c r="M239" s="3">
        <v>2067.363525390625</v>
      </c>
    </row>
    <row r="240" ht="12.0" customHeight="1">
      <c r="A240" s="6">
        <v>1948.5</v>
      </c>
      <c r="B240" s="3">
        <v>44.8</v>
      </c>
      <c r="C240" s="6">
        <f t="shared" si="1"/>
        <v>279.504004</v>
      </c>
      <c r="D240" s="3">
        <v>0.13747</v>
      </c>
      <c r="E240" s="6">
        <v>146844.078125</v>
      </c>
      <c r="F240" s="6">
        <v>0.0</v>
      </c>
      <c r="G240" s="6">
        <v>3.8</v>
      </c>
      <c r="H240" s="7">
        <v>0.0</v>
      </c>
      <c r="I240" s="3">
        <v>2033.2</v>
      </c>
      <c r="J240" s="3">
        <v>41.6</v>
      </c>
      <c r="K240" s="3">
        <v>2068.098</v>
      </c>
      <c r="M240" s="3">
        <v>2087.341796875</v>
      </c>
    </row>
    <row r="241" ht="12.0" customHeight="1">
      <c r="A241" s="6">
        <v>1948.75</v>
      </c>
      <c r="B241" s="3">
        <v>46.8</v>
      </c>
      <c r="C241" s="6">
        <f t="shared" si="1"/>
        <v>280.647517</v>
      </c>
      <c r="D241" s="3">
        <v>0.13789</v>
      </c>
      <c r="E241" s="6">
        <v>147483.328125</v>
      </c>
      <c r="F241" s="6">
        <v>1.0</v>
      </c>
      <c r="G241" s="6">
        <v>3.8</v>
      </c>
      <c r="H241" s="7">
        <v>0.0</v>
      </c>
      <c r="I241" s="3">
        <v>2035.3</v>
      </c>
      <c r="J241" s="3">
        <v>41.3</v>
      </c>
      <c r="K241" s="3">
        <v>2087.566</v>
      </c>
      <c r="M241" s="3">
        <v>2107.513427734375</v>
      </c>
    </row>
    <row r="242" ht="12.0" customHeight="1">
      <c r="A242" s="6">
        <v>1949.0</v>
      </c>
      <c r="B242" s="3">
        <v>48.8</v>
      </c>
      <c r="C242" s="6">
        <f t="shared" si="1"/>
        <v>275.368775</v>
      </c>
      <c r="D242" s="3">
        <v>0.13717</v>
      </c>
      <c r="E242" s="6">
        <v>148122.578125</v>
      </c>
      <c r="F242" s="6">
        <v>1.0</v>
      </c>
      <c r="G242" s="6">
        <v>4.7</v>
      </c>
      <c r="H242" s="7">
        <v>0.0</v>
      </c>
      <c r="I242" s="3">
        <v>2007.5</v>
      </c>
      <c r="J242" s="3">
        <v>39.9</v>
      </c>
      <c r="K242" s="3">
        <v>2107.221</v>
      </c>
      <c r="L242" s="8">
        <v>2025.0</v>
      </c>
      <c r="M242" s="3">
        <v>2124.599853515625</v>
      </c>
    </row>
    <row r="243" ht="12.0" customHeight="1">
      <c r="A243" s="6">
        <v>1949.25</v>
      </c>
      <c r="B243" s="3">
        <v>50.6</v>
      </c>
      <c r="C243" s="6">
        <f t="shared" si="1"/>
        <v>271.688632</v>
      </c>
      <c r="D243" s="3">
        <v>0.13579</v>
      </c>
      <c r="E243" s="6">
        <v>148761.828125</v>
      </c>
      <c r="F243" s="6">
        <v>1.0</v>
      </c>
      <c r="G243" s="6">
        <v>5.9</v>
      </c>
      <c r="H243" s="7">
        <v>0.0</v>
      </c>
      <c r="I243" s="3">
        <v>2000.8</v>
      </c>
      <c r="J243" s="3">
        <v>37.9</v>
      </c>
      <c r="K243" s="3">
        <v>2127.063</v>
      </c>
      <c r="L243" s="8">
        <v>2048.0</v>
      </c>
      <c r="M243" s="3">
        <v>2141.823974609375</v>
      </c>
    </row>
    <row r="244" ht="12.0" customHeight="1">
      <c r="A244" s="6">
        <v>1949.5</v>
      </c>
      <c r="B244" s="3">
        <v>50.6</v>
      </c>
      <c r="C244" s="6">
        <f t="shared" si="1"/>
        <v>273.260052</v>
      </c>
      <c r="D244" s="3">
        <v>0.13509</v>
      </c>
      <c r="E244" s="6">
        <v>149444.921875</v>
      </c>
      <c r="F244" s="6">
        <v>1.0</v>
      </c>
      <c r="G244" s="6">
        <v>6.7</v>
      </c>
      <c r="H244" s="7">
        <v>0.0</v>
      </c>
      <c r="I244" s="3">
        <v>2022.8</v>
      </c>
      <c r="J244" s="3">
        <v>37.4</v>
      </c>
      <c r="K244" s="3">
        <v>2147.092</v>
      </c>
      <c r="L244" s="8">
        <v>2071.0</v>
      </c>
      <c r="M244" s="3">
        <v>2159.187744140625</v>
      </c>
    </row>
    <row r="245" ht="12.0" customHeight="1">
      <c r="A245" s="6">
        <v>1949.75</v>
      </c>
      <c r="B245" s="3">
        <v>50.1</v>
      </c>
      <c r="C245" s="6">
        <f t="shared" si="1"/>
        <v>270.995346</v>
      </c>
      <c r="D245" s="3">
        <v>0.13518</v>
      </c>
      <c r="E245" s="6">
        <v>150215.671875</v>
      </c>
      <c r="F245" s="6">
        <v>1.0</v>
      </c>
      <c r="G245" s="6">
        <v>7.0</v>
      </c>
      <c r="H245" s="7">
        <v>-2.0</v>
      </c>
      <c r="I245" s="3">
        <v>2004.7</v>
      </c>
      <c r="J245" s="3">
        <v>36.2</v>
      </c>
      <c r="K245" s="3">
        <v>2167.313</v>
      </c>
      <c r="L245" s="8">
        <v>2095.0</v>
      </c>
      <c r="M245" s="3">
        <v>2176.693115234375</v>
      </c>
    </row>
    <row r="246" ht="12.0" customHeight="1">
      <c r="A246" s="6">
        <v>1950.0</v>
      </c>
      <c r="B246" s="3">
        <v>49.2</v>
      </c>
      <c r="C246" s="6">
        <f t="shared" si="1"/>
        <v>281.21254</v>
      </c>
      <c r="D246" s="3">
        <v>0.1349</v>
      </c>
      <c r="E246" s="6">
        <v>150986.421875</v>
      </c>
      <c r="F246" s="6">
        <v>0.0</v>
      </c>
      <c r="G246" s="6">
        <v>6.4</v>
      </c>
      <c r="H246" s="7">
        <v>0.0</v>
      </c>
      <c r="I246" s="3">
        <v>2084.6</v>
      </c>
      <c r="J246" s="3">
        <v>41.4</v>
      </c>
      <c r="K246" s="3">
        <v>2187.724</v>
      </c>
      <c r="L246" s="8">
        <v>2119.0</v>
      </c>
      <c r="M246" s="3">
        <v>2191.70849609375</v>
      </c>
    </row>
    <row r="247" ht="12.0" customHeight="1">
      <c r="A247" s="6">
        <v>1950.25</v>
      </c>
      <c r="B247" s="3">
        <v>49.9</v>
      </c>
      <c r="C247" s="6">
        <f t="shared" si="1"/>
        <v>290.742088</v>
      </c>
      <c r="D247" s="3">
        <v>0.13538</v>
      </c>
      <c r="E247" s="6">
        <v>151757.171875</v>
      </c>
      <c r="F247" s="6">
        <v>0.0</v>
      </c>
      <c r="G247" s="6">
        <v>5.6</v>
      </c>
      <c r="H247" s="7">
        <v>7.7</v>
      </c>
      <c r="I247" s="3">
        <v>2147.6</v>
      </c>
      <c r="J247" s="3">
        <v>45.5</v>
      </c>
      <c r="K247" s="3">
        <v>2208.328</v>
      </c>
      <c r="L247" s="8">
        <v>2144.0</v>
      </c>
      <c r="M247" s="3">
        <v>2206.82763671875</v>
      </c>
    </row>
    <row r="248" ht="12.0" customHeight="1">
      <c r="A248" s="6">
        <v>1950.5</v>
      </c>
      <c r="B248" s="3">
        <v>50.0</v>
      </c>
      <c r="C248" s="6">
        <f t="shared" si="1"/>
        <v>308.508928</v>
      </c>
      <c r="D248" s="3">
        <v>0.13832</v>
      </c>
      <c r="E248" s="6">
        <v>152488.25</v>
      </c>
      <c r="F248" s="6">
        <v>0.0</v>
      </c>
      <c r="G248" s="6">
        <v>4.6</v>
      </c>
      <c r="H248" s="7">
        <v>179.4</v>
      </c>
      <c r="I248" s="3">
        <v>2230.4</v>
      </c>
      <c r="J248" s="3">
        <v>51.8</v>
      </c>
      <c r="K248" s="3">
        <v>2229.124</v>
      </c>
      <c r="L248" s="8">
        <v>2170.0</v>
      </c>
      <c r="M248" s="3">
        <v>2222.0498046875</v>
      </c>
    </row>
    <row r="249" ht="12.0" customHeight="1">
      <c r="A249" s="6">
        <v>1950.75</v>
      </c>
      <c r="B249" s="3">
        <v>53.9</v>
      </c>
      <c r="C249" s="6">
        <f t="shared" si="1"/>
        <v>320.32206</v>
      </c>
      <c r="D249" s="3">
        <v>0.1409</v>
      </c>
      <c r="E249" s="6">
        <v>153140.0</v>
      </c>
      <c r="F249" s="6">
        <v>0.0</v>
      </c>
      <c r="G249" s="6">
        <v>4.2</v>
      </c>
      <c r="H249" s="7">
        <v>124.0</v>
      </c>
      <c r="I249" s="3">
        <v>2273.4</v>
      </c>
      <c r="J249" s="3">
        <v>56.5</v>
      </c>
      <c r="K249" s="3">
        <v>2250.117</v>
      </c>
      <c r="L249" s="8">
        <v>2197.0</v>
      </c>
      <c r="M249" s="3">
        <v>2237.3779296875</v>
      </c>
    </row>
    <row r="250" ht="12.0" customHeight="1">
      <c r="A250" s="6">
        <v>1951.0</v>
      </c>
      <c r="B250" s="3">
        <v>62.3</v>
      </c>
      <c r="C250" s="6">
        <f t="shared" si="1"/>
        <v>336.36482</v>
      </c>
      <c r="D250" s="3">
        <v>0.14596</v>
      </c>
      <c r="E250" s="6">
        <v>153791.75</v>
      </c>
      <c r="F250" s="6">
        <v>0.0</v>
      </c>
      <c r="G250" s="6">
        <v>3.5</v>
      </c>
      <c r="H250" s="7">
        <v>4.1</v>
      </c>
      <c r="I250" s="3">
        <v>2304.5</v>
      </c>
      <c r="J250" s="3">
        <v>64.5</v>
      </c>
      <c r="K250" s="3">
        <v>2271.306</v>
      </c>
      <c r="L250" s="8">
        <v>2225.0</v>
      </c>
      <c r="M250" s="3">
        <v>2253.807861328125</v>
      </c>
    </row>
    <row r="251" ht="12.0" customHeight="1">
      <c r="A251" s="6">
        <v>1951.25</v>
      </c>
      <c r="B251" s="3">
        <v>70.0</v>
      </c>
      <c r="C251" s="6">
        <f t="shared" si="1"/>
        <v>344.45394</v>
      </c>
      <c r="D251" s="3">
        <v>0.14692</v>
      </c>
      <c r="E251" s="6">
        <v>154443.5</v>
      </c>
      <c r="F251" s="6">
        <v>0.0</v>
      </c>
      <c r="G251" s="6">
        <v>3.1</v>
      </c>
      <c r="H251" s="7">
        <v>0.0</v>
      </c>
      <c r="I251" s="3">
        <v>2344.5</v>
      </c>
      <c r="J251" s="3">
        <v>61.6</v>
      </c>
      <c r="K251" s="3">
        <v>2292.691</v>
      </c>
      <c r="L251" s="8">
        <v>2254.0</v>
      </c>
      <c r="M251" s="3">
        <v>2270.357421875</v>
      </c>
    </row>
    <row r="252" ht="12.0" customHeight="1">
      <c r="A252" s="6">
        <v>1951.5</v>
      </c>
      <c r="B252" s="3">
        <v>78.3</v>
      </c>
      <c r="C252" s="6">
        <f t="shared" si="1"/>
        <v>351.765528</v>
      </c>
      <c r="D252" s="3">
        <v>0.14701</v>
      </c>
      <c r="E252" s="6">
        <v>155100.921875</v>
      </c>
      <c r="F252" s="6">
        <v>0.0</v>
      </c>
      <c r="G252" s="6">
        <v>3.2</v>
      </c>
      <c r="H252" s="7">
        <v>0.0</v>
      </c>
      <c r="I252" s="3">
        <v>2392.8</v>
      </c>
      <c r="J252" s="3">
        <v>60.9</v>
      </c>
      <c r="K252" s="3">
        <v>2314.275</v>
      </c>
      <c r="L252" s="8">
        <v>2284.0</v>
      </c>
      <c r="M252" s="3">
        <v>2287.02978515625</v>
      </c>
    </row>
    <row r="253" ht="12.0" customHeight="1">
      <c r="A253" s="6">
        <v>1951.75</v>
      </c>
      <c r="B253" s="3">
        <v>83.6</v>
      </c>
      <c r="C253" s="6">
        <f t="shared" si="1"/>
        <v>356.573489</v>
      </c>
      <c r="D253" s="3">
        <v>0.14869</v>
      </c>
      <c r="E253" s="6">
        <v>155769.671875</v>
      </c>
      <c r="F253" s="6">
        <v>0.0</v>
      </c>
      <c r="G253" s="6">
        <v>3.4</v>
      </c>
      <c r="H253" s="7">
        <v>0.0</v>
      </c>
      <c r="I253" s="3">
        <v>2398.1</v>
      </c>
      <c r="J253" s="3">
        <v>64.6</v>
      </c>
      <c r="K253" s="3">
        <v>2336.061</v>
      </c>
      <c r="L253" s="8">
        <v>2314.0</v>
      </c>
      <c r="M253" s="3">
        <v>2303.824462890625</v>
      </c>
    </row>
    <row r="254" ht="12.0" customHeight="1">
      <c r="A254" s="6">
        <v>1952.0</v>
      </c>
      <c r="B254" s="3">
        <v>85.3</v>
      </c>
      <c r="C254" s="6">
        <f t="shared" si="1"/>
        <v>360.204805</v>
      </c>
      <c r="D254" s="3">
        <v>0.14863</v>
      </c>
      <c r="E254" s="6">
        <v>156522.0</v>
      </c>
      <c r="F254" s="6">
        <v>0.0</v>
      </c>
      <c r="G254" s="6">
        <v>3.1</v>
      </c>
      <c r="H254" s="7">
        <v>-0.5</v>
      </c>
      <c r="I254" s="3">
        <v>2423.5</v>
      </c>
      <c r="J254" s="3">
        <v>64.7</v>
      </c>
      <c r="K254" s="3">
        <v>2358.048</v>
      </c>
      <c r="L254" s="8">
        <v>2343.0</v>
      </c>
      <c r="M254" s="3">
        <v>2322.302001953125</v>
      </c>
    </row>
    <row r="255" ht="12.0" customHeight="1">
      <c r="A255" s="6">
        <v>1952.25</v>
      </c>
      <c r="B255" s="3">
        <v>89.2</v>
      </c>
      <c r="C255" s="6">
        <f t="shared" si="1"/>
        <v>361.40937</v>
      </c>
      <c r="D255" s="3">
        <v>0.14882</v>
      </c>
      <c r="E255" s="6">
        <v>157142.0</v>
      </c>
      <c r="F255" s="6">
        <v>0.0</v>
      </c>
      <c r="G255" s="6">
        <v>3.0</v>
      </c>
      <c r="H255" s="7">
        <v>-4.6</v>
      </c>
      <c r="I255" s="3">
        <v>2428.5</v>
      </c>
      <c r="J255" s="3">
        <v>64.8</v>
      </c>
      <c r="K255" s="3">
        <v>2380.236</v>
      </c>
      <c r="L255" s="8">
        <v>2373.0</v>
      </c>
      <c r="M255" s="3">
        <v>2340.927978515625</v>
      </c>
    </row>
    <row r="256" ht="12.0" customHeight="1">
      <c r="A256" s="6">
        <v>1952.5</v>
      </c>
      <c r="B256" s="3">
        <v>91.2</v>
      </c>
      <c r="C256" s="6">
        <f t="shared" si="1"/>
        <v>368.089128</v>
      </c>
      <c r="D256" s="3">
        <v>0.15048</v>
      </c>
      <c r="E256" s="6">
        <v>157801.0</v>
      </c>
      <c r="F256" s="6">
        <v>0.0</v>
      </c>
      <c r="G256" s="6">
        <v>3.2</v>
      </c>
      <c r="H256" s="7">
        <v>0.8</v>
      </c>
      <c r="I256" s="3">
        <v>2446.1</v>
      </c>
      <c r="J256" s="3">
        <v>65.3</v>
      </c>
      <c r="K256" s="3">
        <v>2402.629</v>
      </c>
      <c r="L256" s="8">
        <v>2401.0</v>
      </c>
      <c r="M256" s="3">
        <v>2359.7021484375</v>
      </c>
    </row>
    <row r="257" ht="12.0" customHeight="1">
      <c r="A257" s="6">
        <v>1952.75</v>
      </c>
      <c r="B257" s="3">
        <v>93.7</v>
      </c>
      <c r="C257" s="6">
        <f t="shared" si="1"/>
        <v>381.259024</v>
      </c>
      <c r="D257" s="3">
        <v>0.15091</v>
      </c>
      <c r="E257" s="6">
        <v>158505.0</v>
      </c>
      <c r="F257" s="6">
        <v>0.0</v>
      </c>
      <c r="G257" s="6">
        <v>2.8</v>
      </c>
      <c r="H257" s="7">
        <v>0.0</v>
      </c>
      <c r="I257" s="3">
        <v>2526.4</v>
      </c>
      <c r="J257" s="3">
        <v>68.4</v>
      </c>
      <c r="K257" s="3">
        <v>2425.228</v>
      </c>
      <c r="L257" s="8">
        <v>2429.0</v>
      </c>
      <c r="M257" s="3">
        <v>2378.6279296875</v>
      </c>
    </row>
    <row r="258" ht="12.0" customHeight="1">
      <c r="A258" s="6">
        <v>1953.0</v>
      </c>
      <c r="B258" s="3">
        <v>96.0</v>
      </c>
      <c r="C258" s="6">
        <f t="shared" si="1"/>
        <v>388.480464</v>
      </c>
      <c r="D258" s="3">
        <v>0.15096</v>
      </c>
      <c r="E258" s="6">
        <v>159164.0</v>
      </c>
      <c r="F258" s="6">
        <v>0.0</v>
      </c>
      <c r="G258" s="6">
        <v>2.7</v>
      </c>
      <c r="H258" s="7">
        <v>-7.5</v>
      </c>
      <c r="I258" s="3">
        <v>2573.4</v>
      </c>
      <c r="J258" s="3">
        <v>70.1</v>
      </c>
      <c r="K258" s="3">
        <v>2448.031</v>
      </c>
      <c r="L258" s="8">
        <v>2455.0</v>
      </c>
      <c r="M258" s="3">
        <v>2399.525390625</v>
      </c>
    </row>
    <row r="259" ht="12.0" customHeight="1">
      <c r="A259" s="6">
        <v>1953.25</v>
      </c>
      <c r="B259" s="3">
        <v>98.2</v>
      </c>
      <c r="C259" s="6">
        <f t="shared" si="1"/>
        <v>392.266875</v>
      </c>
      <c r="D259" s="3">
        <v>0.15125</v>
      </c>
      <c r="E259" s="6">
        <v>159752.0</v>
      </c>
      <c r="F259" s="6">
        <v>0.0</v>
      </c>
      <c r="G259" s="6">
        <v>2.6</v>
      </c>
      <c r="H259" s="7">
        <v>-4.4</v>
      </c>
      <c r="I259" s="3">
        <v>2593.5</v>
      </c>
      <c r="J259" s="3">
        <v>70.5</v>
      </c>
      <c r="K259" s="3">
        <v>2471.046</v>
      </c>
      <c r="L259" s="8">
        <v>2479.0</v>
      </c>
      <c r="M259" s="3">
        <v>2420.607421875</v>
      </c>
    </row>
    <row r="260" ht="12.0" customHeight="1">
      <c r="A260" s="6">
        <v>1953.5</v>
      </c>
      <c r="B260" s="3">
        <v>96.9</v>
      </c>
      <c r="C260" s="6">
        <f t="shared" si="1"/>
        <v>391.683332</v>
      </c>
      <c r="D260" s="3">
        <v>0.15188</v>
      </c>
      <c r="E260" s="6">
        <v>160450.0</v>
      </c>
      <c r="F260" s="6">
        <v>1.0</v>
      </c>
      <c r="G260" s="6">
        <v>2.7</v>
      </c>
      <c r="H260" s="7">
        <v>-11.7</v>
      </c>
      <c r="I260" s="3">
        <v>2578.9</v>
      </c>
      <c r="J260" s="3">
        <v>69.5</v>
      </c>
      <c r="K260" s="3">
        <v>2494.272</v>
      </c>
      <c r="L260" s="8">
        <v>2502.0</v>
      </c>
      <c r="M260" s="3">
        <v>2441.87353515625</v>
      </c>
    </row>
    <row r="261" ht="12.0" customHeight="1">
      <c r="A261" s="6">
        <v>1953.75</v>
      </c>
      <c r="B261" s="3">
        <v>97.0</v>
      </c>
      <c r="C261" s="6">
        <f t="shared" si="1"/>
        <v>386.532162</v>
      </c>
      <c r="D261" s="3">
        <v>0.15219</v>
      </c>
      <c r="E261" s="6">
        <v>161218.0</v>
      </c>
      <c r="F261" s="6">
        <v>1.0</v>
      </c>
      <c r="G261" s="6">
        <v>3.7</v>
      </c>
      <c r="H261" s="7">
        <v>-1.0</v>
      </c>
      <c r="I261" s="3">
        <v>2539.8</v>
      </c>
      <c r="J261" s="3">
        <v>64.3</v>
      </c>
      <c r="K261" s="3">
        <v>2517.706</v>
      </c>
      <c r="L261" s="8">
        <v>2524.0</v>
      </c>
      <c r="M261" s="3">
        <v>2463.32666015625</v>
      </c>
    </row>
    <row r="262" ht="12.0" customHeight="1">
      <c r="A262" s="6">
        <v>1954.0</v>
      </c>
      <c r="B262" s="3">
        <v>95.1</v>
      </c>
      <c r="C262" s="6">
        <f t="shared" si="1"/>
        <v>385.92448</v>
      </c>
      <c r="D262" s="3">
        <v>0.15266</v>
      </c>
      <c r="E262" s="6">
        <v>161909.0</v>
      </c>
      <c r="F262" s="6">
        <v>1.0</v>
      </c>
      <c r="G262" s="6">
        <v>5.3</v>
      </c>
      <c r="H262" s="7">
        <v>0.0</v>
      </c>
      <c r="I262" s="3">
        <v>2528.0</v>
      </c>
      <c r="J262" s="3">
        <v>61.6</v>
      </c>
      <c r="K262" s="3">
        <v>2541.349</v>
      </c>
      <c r="L262" s="8">
        <v>2545.0</v>
      </c>
      <c r="M262" s="3">
        <v>2487.48388671875</v>
      </c>
    </row>
    <row r="263" ht="12.0" customHeight="1">
      <c r="A263" s="6">
        <v>1954.25</v>
      </c>
      <c r="B263" s="3">
        <v>92.8</v>
      </c>
      <c r="C263" s="6">
        <f t="shared" si="1"/>
        <v>386.716267</v>
      </c>
      <c r="D263" s="3">
        <v>0.15281</v>
      </c>
      <c r="E263" s="6">
        <v>162568.0</v>
      </c>
      <c r="F263" s="6">
        <v>1.0</v>
      </c>
      <c r="G263" s="6">
        <v>5.8</v>
      </c>
      <c r="H263" s="7">
        <v>0.0</v>
      </c>
      <c r="I263" s="3">
        <v>2530.7</v>
      </c>
      <c r="J263" s="3">
        <v>61.7</v>
      </c>
      <c r="K263" s="3">
        <v>2565.209</v>
      </c>
      <c r="L263" s="8">
        <v>2564.0</v>
      </c>
      <c r="M263" s="3">
        <v>2511.8779296875</v>
      </c>
    </row>
    <row r="264" ht="12.0" customHeight="1">
      <c r="A264" s="6">
        <v>1954.5</v>
      </c>
      <c r="B264" s="3">
        <v>91.4</v>
      </c>
      <c r="C264" s="6">
        <f t="shared" si="1"/>
        <v>391.5882</v>
      </c>
      <c r="D264" s="3">
        <v>0.153</v>
      </c>
      <c r="E264" s="6">
        <v>163295.0</v>
      </c>
      <c r="F264" s="6">
        <v>0.0</v>
      </c>
      <c r="G264" s="6">
        <v>6.0</v>
      </c>
      <c r="H264" s="7">
        <v>-5.0</v>
      </c>
      <c r="I264" s="3">
        <v>2559.4</v>
      </c>
      <c r="J264" s="3">
        <v>62.3</v>
      </c>
      <c r="K264" s="3">
        <v>2589.285</v>
      </c>
      <c r="L264" s="8">
        <v>2584.0</v>
      </c>
      <c r="M264" s="3">
        <v>2536.51123046875</v>
      </c>
    </row>
    <row r="265" ht="12.0" customHeight="1">
      <c r="A265" s="6">
        <v>1954.75</v>
      </c>
      <c r="B265" s="3">
        <v>91.6</v>
      </c>
      <c r="C265" s="6">
        <f t="shared" si="1"/>
        <v>400.344899</v>
      </c>
      <c r="D265" s="3">
        <v>0.15343</v>
      </c>
      <c r="E265" s="6">
        <v>164101.0</v>
      </c>
      <c r="F265" s="6">
        <v>0.0</v>
      </c>
      <c r="G265" s="6">
        <v>5.3</v>
      </c>
      <c r="H265" s="7">
        <v>0.0</v>
      </c>
      <c r="I265" s="3">
        <v>2609.3</v>
      </c>
      <c r="J265" s="3">
        <v>64.4</v>
      </c>
      <c r="K265" s="3">
        <v>2613.574</v>
      </c>
      <c r="L265" s="8">
        <v>2603.0</v>
      </c>
      <c r="M265" s="3">
        <v>2561.385986328125</v>
      </c>
    </row>
    <row r="266" ht="12.0" customHeight="1">
      <c r="A266" s="6">
        <v>1955.0</v>
      </c>
      <c r="B266" s="3">
        <v>92.2</v>
      </c>
      <c r="C266" s="6">
        <f t="shared" si="1"/>
        <v>413.761446</v>
      </c>
      <c r="D266" s="3">
        <v>0.15417</v>
      </c>
      <c r="E266" s="6">
        <v>164805.0</v>
      </c>
      <c r="F266" s="6">
        <v>0.0</v>
      </c>
      <c r="G266" s="6">
        <v>4.7</v>
      </c>
      <c r="H266" s="7">
        <v>4.9</v>
      </c>
      <c r="I266" s="3">
        <v>2683.8</v>
      </c>
      <c r="J266" s="3">
        <v>68.3</v>
      </c>
      <c r="K266" s="3">
        <v>2638.081</v>
      </c>
      <c r="L266" s="8">
        <v>2622.0</v>
      </c>
      <c r="M266" s="3">
        <v>2586.497314453125</v>
      </c>
    </row>
    <row r="267" ht="12.0" customHeight="1">
      <c r="A267" s="6">
        <v>1955.25</v>
      </c>
      <c r="B267" s="3">
        <v>92.8</v>
      </c>
      <c r="C267" s="6">
        <f t="shared" si="1"/>
        <v>422.244275</v>
      </c>
      <c r="D267" s="3">
        <v>0.15481</v>
      </c>
      <c r="E267" s="6">
        <v>165470.0</v>
      </c>
      <c r="F267" s="6">
        <v>0.0</v>
      </c>
      <c r="G267" s="6">
        <v>4.4</v>
      </c>
      <c r="H267" s="7">
        <v>0.0</v>
      </c>
      <c r="I267" s="3">
        <v>2727.5</v>
      </c>
      <c r="J267" s="3">
        <v>70.3</v>
      </c>
      <c r="K267" s="3">
        <v>2662.808</v>
      </c>
      <c r="L267" s="8">
        <v>2642.0</v>
      </c>
      <c r="M267" s="3">
        <v>2611.85498046875</v>
      </c>
    </row>
    <row r="268" ht="12.0" customHeight="1">
      <c r="A268" s="6">
        <v>1955.5</v>
      </c>
      <c r="B268" s="3">
        <v>94.4</v>
      </c>
      <c r="C268" s="6">
        <f t="shared" si="1"/>
        <v>430.92319</v>
      </c>
      <c r="D268" s="3">
        <v>0.1559</v>
      </c>
      <c r="E268" s="6">
        <v>166199.0</v>
      </c>
      <c r="F268" s="6">
        <v>0.0</v>
      </c>
      <c r="G268" s="6">
        <v>4.1</v>
      </c>
      <c r="H268" s="7">
        <v>0.0</v>
      </c>
      <c r="I268" s="3">
        <v>2764.1</v>
      </c>
      <c r="J268" s="3">
        <v>72.0</v>
      </c>
      <c r="K268" s="3">
        <v>2687.757</v>
      </c>
      <c r="L268" s="8">
        <v>2662.0</v>
      </c>
      <c r="M268" s="3">
        <v>2637.461181640625</v>
      </c>
    </row>
    <row r="269" ht="12.0" customHeight="1">
      <c r="A269" s="6">
        <v>1955.75</v>
      </c>
      <c r="B269" s="3">
        <v>93.6</v>
      </c>
      <c r="C269" s="6">
        <f t="shared" si="1"/>
        <v>437.781344</v>
      </c>
      <c r="D269" s="3">
        <v>0.15743</v>
      </c>
      <c r="E269" s="6">
        <v>167016.0</v>
      </c>
      <c r="F269" s="6">
        <v>0.0</v>
      </c>
      <c r="G269" s="6">
        <v>4.2</v>
      </c>
      <c r="H269" s="7">
        <v>0.0</v>
      </c>
      <c r="I269" s="3">
        <v>2780.8</v>
      </c>
      <c r="J269" s="3">
        <v>73.7</v>
      </c>
      <c r="K269" s="3">
        <v>2712.928</v>
      </c>
      <c r="L269" s="8">
        <v>2683.0</v>
      </c>
      <c r="M269" s="3">
        <v>2663.318359375</v>
      </c>
    </row>
    <row r="270" ht="12.0" customHeight="1">
      <c r="A270" s="6">
        <v>1956.0</v>
      </c>
      <c r="B270" s="3">
        <v>95.2</v>
      </c>
      <c r="C270" s="6">
        <f t="shared" si="1"/>
        <v>440.4854</v>
      </c>
      <c r="D270" s="3">
        <v>0.15902</v>
      </c>
      <c r="E270" s="6">
        <v>167745.0</v>
      </c>
      <c r="F270" s="6">
        <v>0.0</v>
      </c>
      <c r="G270" s="6">
        <v>4.0</v>
      </c>
      <c r="H270" s="7">
        <v>0.9</v>
      </c>
      <c r="I270" s="3">
        <v>2770.0</v>
      </c>
      <c r="J270" s="3">
        <v>74.2</v>
      </c>
      <c r="K270" s="3">
        <v>2738.315</v>
      </c>
      <c r="L270" s="8">
        <v>2704.0</v>
      </c>
      <c r="M270" s="3">
        <v>2689.012451171875</v>
      </c>
    </row>
    <row r="271" ht="12.0" customHeight="1">
      <c r="A271" s="6">
        <v>1956.25</v>
      </c>
      <c r="B271" s="3">
        <v>98.6</v>
      </c>
      <c r="C271" s="6">
        <f t="shared" si="1"/>
        <v>446.780213</v>
      </c>
      <c r="D271" s="3">
        <v>0.15997</v>
      </c>
      <c r="E271" s="6">
        <v>168439.0</v>
      </c>
      <c r="F271" s="6">
        <v>0.0</v>
      </c>
      <c r="G271" s="6">
        <v>4.2</v>
      </c>
      <c r="H271" s="7">
        <v>0.6</v>
      </c>
      <c r="I271" s="3">
        <v>2792.9</v>
      </c>
      <c r="J271" s="3">
        <v>75.6</v>
      </c>
      <c r="K271" s="3">
        <v>2763.934</v>
      </c>
      <c r="L271" s="8">
        <v>2726.0</v>
      </c>
      <c r="M271" s="3">
        <v>2714.954345703125</v>
      </c>
    </row>
    <row r="272" ht="12.0" customHeight="1">
      <c r="A272" s="6">
        <v>1956.5</v>
      </c>
      <c r="B272" s="3">
        <v>98.6</v>
      </c>
      <c r="C272" s="6">
        <f t="shared" si="1"/>
        <v>451.993482</v>
      </c>
      <c r="D272" s="3">
        <v>0.16197</v>
      </c>
      <c r="E272" s="6">
        <v>169194.0</v>
      </c>
      <c r="F272" s="6">
        <v>0.0</v>
      </c>
      <c r="G272" s="6">
        <v>4.1</v>
      </c>
      <c r="H272" s="7">
        <v>3.0</v>
      </c>
      <c r="I272" s="3">
        <v>2790.6</v>
      </c>
      <c r="J272" s="3">
        <v>75.4</v>
      </c>
      <c r="K272" s="3">
        <v>2789.778</v>
      </c>
      <c r="L272" s="8">
        <v>2748.0</v>
      </c>
      <c r="M272" s="3">
        <v>2741.14501953125</v>
      </c>
    </row>
    <row r="273" ht="12.0" customHeight="1">
      <c r="A273" s="6">
        <v>1956.75</v>
      </c>
      <c r="B273" s="3">
        <v>101.7</v>
      </c>
      <c r="C273" s="6">
        <f t="shared" si="1"/>
        <v>461.279568</v>
      </c>
      <c r="D273" s="3">
        <v>0.16264</v>
      </c>
      <c r="E273" s="6">
        <v>170053.0</v>
      </c>
      <c r="F273" s="6">
        <v>0.0</v>
      </c>
      <c r="G273" s="6">
        <v>4.1</v>
      </c>
      <c r="H273" s="7">
        <v>0.5</v>
      </c>
      <c r="I273" s="3">
        <v>2836.2</v>
      </c>
      <c r="J273" s="3">
        <v>78.2</v>
      </c>
      <c r="K273" s="3">
        <v>2815.846</v>
      </c>
      <c r="L273" s="8">
        <v>2771.0</v>
      </c>
      <c r="M273" s="3">
        <v>2767.58984375</v>
      </c>
    </row>
    <row r="274" ht="12.0" customHeight="1">
      <c r="A274" s="6">
        <v>1957.0</v>
      </c>
      <c r="B274" s="3">
        <v>105.7</v>
      </c>
      <c r="C274" s="6">
        <f t="shared" si="1"/>
        <v>470.564325</v>
      </c>
      <c r="D274" s="3">
        <v>0.16485</v>
      </c>
      <c r="E274" s="6">
        <v>170802.0</v>
      </c>
      <c r="F274" s="6">
        <v>0.0</v>
      </c>
      <c r="G274" s="6">
        <v>3.9</v>
      </c>
      <c r="H274" s="7">
        <v>0.0</v>
      </c>
      <c r="I274" s="3">
        <v>2854.5</v>
      </c>
      <c r="J274" s="3">
        <v>80.4</v>
      </c>
      <c r="K274" s="3">
        <v>2842.141</v>
      </c>
      <c r="L274" s="8">
        <v>2794.0</v>
      </c>
      <c r="M274" s="3">
        <v>2793.78076171875</v>
      </c>
    </row>
    <row r="275" ht="12.0" customHeight="1">
      <c r="A275" s="6">
        <v>1957.25</v>
      </c>
      <c r="B275" s="3">
        <v>106.2</v>
      </c>
      <c r="C275" s="6">
        <f t="shared" si="1"/>
        <v>472.829682</v>
      </c>
      <c r="D275" s="3">
        <v>0.16601</v>
      </c>
      <c r="E275" s="6">
        <v>171504.0</v>
      </c>
      <c r="F275" s="6">
        <v>0.0</v>
      </c>
      <c r="G275" s="6">
        <v>4.1</v>
      </c>
      <c r="H275" s="7">
        <v>2.4</v>
      </c>
      <c r="I275" s="3">
        <v>2848.2</v>
      </c>
      <c r="J275" s="3">
        <v>79.9</v>
      </c>
      <c r="K275" s="3">
        <v>2868.671</v>
      </c>
      <c r="L275" s="8">
        <v>2817.0</v>
      </c>
      <c r="M275" s="3">
        <v>2820.21826171875</v>
      </c>
    </row>
    <row r="276" ht="12.0" customHeight="1">
      <c r="A276" s="6">
        <v>1957.5</v>
      </c>
      <c r="B276" s="3">
        <v>107.8</v>
      </c>
      <c r="C276" s="6">
        <f t="shared" si="1"/>
        <v>480.304059</v>
      </c>
      <c r="D276" s="3">
        <v>0.16701</v>
      </c>
      <c r="E276" s="6">
        <v>172260.0</v>
      </c>
      <c r="F276" s="6">
        <v>1.0</v>
      </c>
      <c r="G276" s="6">
        <v>4.2</v>
      </c>
      <c r="H276" s="7">
        <v>0.0</v>
      </c>
      <c r="I276" s="3">
        <v>2875.9</v>
      </c>
      <c r="J276" s="3">
        <v>79.9</v>
      </c>
      <c r="K276" s="3">
        <v>2895.429</v>
      </c>
      <c r="L276" s="8">
        <v>2842.0</v>
      </c>
      <c r="M276" s="3">
        <v>2846.906005859375</v>
      </c>
    </row>
    <row r="277" ht="12.0" customHeight="1">
      <c r="A277" s="6">
        <v>1957.75</v>
      </c>
      <c r="B277" s="3">
        <v>110.4</v>
      </c>
      <c r="C277" s="6">
        <f t="shared" si="1"/>
        <v>475.661904</v>
      </c>
      <c r="D277" s="3">
        <v>0.16711</v>
      </c>
      <c r="E277" s="6">
        <v>173061.0</v>
      </c>
      <c r="F277" s="6">
        <v>1.0</v>
      </c>
      <c r="G277" s="6">
        <v>4.9</v>
      </c>
      <c r="H277" s="7">
        <v>10.3</v>
      </c>
      <c r="I277" s="3">
        <v>2846.4</v>
      </c>
      <c r="J277" s="3">
        <v>77.1</v>
      </c>
      <c r="K277" s="3">
        <v>2922.422</v>
      </c>
      <c r="L277" s="8">
        <v>2866.0</v>
      </c>
      <c r="M277" s="3">
        <v>2873.84765625</v>
      </c>
    </row>
    <row r="278" ht="12.0" customHeight="1">
      <c r="A278" s="6">
        <v>1958.0</v>
      </c>
      <c r="B278" s="3">
        <v>110.2</v>
      </c>
      <c r="C278" s="6">
        <f t="shared" si="1"/>
        <v>468.364484</v>
      </c>
      <c r="D278" s="3">
        <v>0.16892</v>
      </c>
      <c r="E278" s="6">
        <v>173741.0</v>
      </c>
      <c r="F278" s="6">
        <v>1.0</v>
      </c>
      <c r="G278" s="6">
        <v>6.3</v>
      </c>
      <c r="H278" s="7">
        <v>0.7</v>
      </c>
      <c r="I278" s="3">
        <v>2772.7</v>
      </c>
      <c r="J278" s="3">
        <v>73.6</v>
      </c>
      <c r="K278" s="3">
        <v>2949.642</v>
      </c>
      <c r="L278" s="8">
        <v>2890.0</v>
      </c>
      <c r="M278" s="3">
        <v>2901.87158203125</v>
      </c>
    </row>
    <row r="279" ht="12.0" customHeight="1">
      <c r="A279" s="6">
        <v>1958.25</v>
      </c>
      <c r="B279" s="3">
        <v>114.0</v>
      </c>
      <c r="C279" s="6">
        <f t="shared" si="1"/>
        <v>472.77846</v>
      </c>
      <c r="D279" s="3">
        <v>0.1694</v>
      </c>
      <c r="E279" s="6">
        <v>174404.0</v>
      </c>
      <c r="F279" s="6">
        <v>1.0</v>
      </c>
      <c r="G279" s="6">
        <v>7.4</v>
      </c>
      <c r="H279" s="7">
        <v>0.0</v>
      </c>
      <c r="I279" s="3">
        <v>2790.9</v>
      </c>
      <c r="J279" s="3">
        <v>73.5</v>
      </c>
      <c r="K279" s="3">
        <v>2977.104</v>
      </c>
      <c r="L279" s="8">
        <v>2914.0</v>
      </c>
      <c r="M279" s="3">
        <v>2930.167236328125</v>
      </c>
    </row>
    <row r="280" ht="12.0" customHeight="1">
      <c r="A280" s="6">
        <v>1958.5</v>
      </c>
      <c r="B280" s="3">
        <v>115.5</v>
      </c>
      <c r="C280" s="6">
        <f t="shared" si="1"/>
        <v>486.662865</v>
      </c>
      <c r="D280" s="3">
        <v>0.17043</v>
      </c>
      <c r="E280" s="6">
        <v>175146.0</v>
      </c>
      <c r="F280" s="6">
        <v>0.0</v>
      </c>
      <c r="G280" s="6">
        <v>7.3</v>
      </c>
      <c r="H280" s="7">
        <v>0.0</v>
      </c>
      <c r="I280" s="3">
        <v>2855.5</v>
      </c>
      <c r="J280" s="3">
        <v>76.7</v>
      </c>
      <c r="K280" s="3">
        <v>3004.805</v>
      </c>
      <c r="L280" s="8">
        <v>2937.0</v>
      </c>
      <c r="M280" s="3">
        <v>2958.740478515625</v>
      </c>
    </row>
    <row r="281" ht="12.0" customHeight="1">
      <c r="A281" s="6">
        <v>1958.75</v>
      </c>
      <c r="B281" s="3">
        <v>118.4</v>
      </c>
      <c r="C281" s="6">
        <f t="shared" si="1"/>
        <v>500.385429</v>
      </c>
      <c r="D281" s="3">
        <v>0.17123</v>
      </c>
      <c r="E281" s="6">
        <v>175957.0</v>
      </c>
      <c r="F281" s="6">
        <v>0.0</v>
      </c>
      <c r="G281" s="6">
        <v>6.4</v>
      </c>
      <c r="H281" s="7">
        <v>0.0</v>
      </c>
      <c r="I281" s="3">
        <v>2922.3</v>
      </c>
      <c r="J281" s="3">
        <v>80.4</v>
      </c>
      <c r="K281" s="3">
        <v>3032.739</v>
      </c>
      <c r="L281" s="8">
        <v>2961.0</v>
      </c>
      <c r="M281" s="3">
        <v>2987.592041015625</v>
      </c>
    </row>
    <row r="282" ht="12.0" customHeight="1">
      <c r="A282" s="6">
        <v>1959.0</v>
      </c>
      <c r="B282" s="3">
        <v>117.6</v>
      </c>
      <c r="C282" s="6">
        <f t="shared" si="1"/>
        <v>511.052454</v>
      </c>
      <c r="D282" s="3">
        <v>0.17169</v>
      </c>
      <c r="E282" s="6">
        <v>176679.0</v>
      </c>
      <c r="F282" s="6">
        <v>0.0</v>
      </c>
      <c r="G282" s="6">
        <v>5.8</v>
      </c>
      <c r="H282" s="7">
        <v>1.5</v>
      </c>
      <c r="I282" s="3">
        <v>2976.6</v>
      </c>
      <c r="J282" s="3">
        <v>84.6</v>
      </c>
      <c r="K282" s="3">
        <v>3060.912</v>
      </c>
      <c r="L282" s="8">
        <v>2985.0</v>
      </c>
      <c r="M282" s="3">
        <v>3016.528076171875</v>
      </c>
    </row>
    <row r="283" ht="12.0" customHeight="1">
      <c r="A283" s="6">
        <v>1959.25</v>
      </c>
      <c r="B283" s="3">
        <v>119.0</v>
      </c>
      <c r="C283" s="6">
        <f t="shared" si="1"/>
        <v>524.24506</v>
      </c>
      <c r="D283" s="3">
        <v>0.17194</v>
      </c>
      <c r="E283" s="6">
        <v>177367.0</v>
      </c>
      <c r="F283" s="6">
        <v>0.0</v>
      </c>
      <c r="G283" s="6">
        <v>5.1</v>
      </c>
      <c r="H283" s="7">
        <v>0.0</v>
      </c>
      <c r="I283" s="3">
        <v>3049.0</v>
      </c>
      <c r="J283" s="3">
        <v>88.3</v>
      </c>
      <c r="K283" s="3">
        <v>3089.33</v>
      </c>
      <c r="L283" s="8">
        <v>3010.0</v>
      </c>
      <c r="M283" s="3">
        <v>3045.741455078125</v>
      </c>
    </row>
    <row r="284" ht="12.0" customHeight="1">
      <c r="A284" s="6">
        <v>1959.5</v>
      </c>
      <c r="B284" s="3">
        <v>119.9</v>
      </c>
      <c r="C284" s="6">
        <f t="shared" si="1"/>
        <v>525.178198</v>
      </c>
      <c r="D284" s="3">
        <v>0.17258</v>
      </c>
      <c r="E284" s="6">
        <v>178102.0</v>
      </c>
      <c r="F284" s="6">
        <v>0.0</v>
      </c>
      <c r="G284" s="6">
        <v>5.3</v>
      </c>
      <c r="H284" s="7">
        <v>0.0</v>
      </c>
      <c r="I284" s="3">
        <v>3043.1</v>
      </c>
      <c r="J284" s="3">
        <v>86.5</v>
      </c>
      <c r="K284" s="3">
        <v>3117.99</v>
      </c>
      <c r="L284" s="8">
        <v>3035.0</v>
      </c>
      <c r="M284" s="3">
        <v>3075.240478515625</v>
      </c>
    </row>
    <row r="285" ht="12.0" customHeight="1">
      <c r="A285" s="6">
        <v>1959.75</v>
      </c>
      <c r="B285" s="3">
        <v>119.0</v>
      </c>
      <c r="C285" s="6">
        <f t="shared" si="1"/>
        <v>529.326626</v>
      </c>
      <c r="D285" s="3">
        <v>0.17326</v>
      </c>
      <c r="E285" s="6">
        <v>178910.0</v>
      </c>
      <c r="F285" s="6">
        <v>0.0</v>
      </c>
      <c r="G285" s="6">
        <v>5.6</v>
      </c>
      <c r="H285" s="7">
        <v>0.0</v>
      </c>
      <c r="I285" s="3">
        <v>3055.1</v>
      </c>
      <c r="J285" s="3">
        <v>87.1</v>
      </c>
      <c r="K285" s="3">
        <v>3146.895</v>
      </c>
      <c r="L285" s="8">
        <v>3061.0</v>
      </c>
      <c r="M285" s="3">
        <v>3105.025390625</v>
      </c>
    </row>
    <row r="286" ht="12.0" customHeight="1">
      <c r="A286" s="6">
        <v>1960.0</v>
      </c>
      <c r="B286" s="3">
        <v>117.4</v>
      </c>
      <c r="C286" s="6">
        <f t="shared" si="1"/>
        <v>543.343104</v>
      </c>
      <c r="D286" s="3">
        <v>0.17397</v>
      </c>
      <c r="E286" s="6">
        <v>179590.0</v>
      </c>
      <c r="F286" s="6">
        <v>0.0</v>
      </c>
      <c r="G286" s="6">
        <v>5.1</v>
      </c>
      <c r="H286" s="7">
        <v>0.0</v>
      </c>
      <c r="I286" s="3">
        <v>3123.2</v>
      </c>
      <c r="J286" s="3">
        <v>95.2</v>
      </c>
      <c r="K286" s="3">
        <v>3176.041</v>
      </c>
      <c r="L286" s="8">
        <v>3089.0</v>
      </c>
      <c r="M286" s="3">
        <v>3137.650390625</v>
      </c>
    </row>
    <row r="287" ht="12.0" customHeight="1">
      <c r="A287" s="6">
        <v>1960.25</v>
      </c>
      <c r="B287" s="3">
        <v>118.9</v>
      </c>
      <c r="C287" s="6">
        <f t="shared" si="1"/>
        <v>542.704059</v>
      </c>
      <c r="D287" s="3">
        <v>0.17443</v>
      </c>
      <c r="E287" s="6">
        <v>180224.0</v>
      </c>
      <c r="F287" s="6">
        <v>1.0</v>
      </c>
      <c r="G287" s="6">
        <v>5.2</v>
      </c>
      <c r="H287" s="7">
        <v>2.9</v>
      </c>
      <c r="I287" s="3">
        <v>3111.3</v>
      </c>
      <c r="J287" s="3">
        <v>93.9</v>
      </c>
      <c r="K287" s="3">
        <v>3205.436</v>
      </c>
      <c r="L287" s="8">
        <v>3118.0</v>
      </c>
      <c r="M287" s="3">
        <v>3170.620849609375</v>
      </c>
    </row>
    <row r="288" ht="12.0" customHeight="1">
      <c r="A288" s="6">
        <v>1960.5</v>
      </c>
      <c r="B288" s="3">
        <v>122.9</v>
      </c>
      <c r="C288" s="6">
        <f t="shared" si="1"/>
        <v>546.029646</v>
      </c>
      <c r="D288" s="3">
        <v>0.17506</v>
      </c>
      <c r="E288" s="6">
        <v>180951.0</v>
      </c>
      <c r="F288" s="6">
        <v>1.0</v>
      </c>
      <c r="G288" s="6">
        <v>5.5</v>
      </c>
      <c r="H288" s="7">
        <v>0.0</v>
      </c>
      <c r="I288" s="3">
        <v>3119.1</v>
      </c>
      <c r="J288" s="3">
        <v>93.3</v>
      </c>
      <c r="K288" s="3">
        <v>3235.077</v>
      </c>
      <c r="L288" s="8">
        <v>3149.0</v>
      </c>
      <c r="M288" s="3">
        <v>3203.93798828125</v>
      </c>
    </row>
    <row r="289" ht="12.0" customHeight="1">
      <c r="A289" s="6">
        <v>1960.75</v>
      </c>
      <c r="B289" s="3">
        <v>124.9</v>
      </c>
      <c r="C289" s="6">
        <f t="shared" si="1"/>
        <v>541.07628</v>
      </c>
      <c r="D289" s="3">
        <v>0.1756</v>
      </c>
      <c r="E289" s="6">
        <v>181789.0</v>
      </c>
      <c r="F289" s="6">
        <v>1.0</v>
      </c>
      <c r="G289" s="6">
        <v>6.3</v>
      </c>
      <c r="H289" s="7">
        <v>0.0</v>
      </c>
      <c r="I289" s="3">
        <v>3081.3</v>
      </c>
      <c r="J289" s="3">
        <v>91.8</v>
      </c>
      <c r="K289" s="3">
        <v>3264.971</v>
      </c>
      <c r="L289" s="8">
        <v>3181.0</v>
      </c>
      <c r="M289" s="3">
        <v>3237.60205078125</v>
      </c>
    </row>
    <row r="290" ht="12.0" customHeight="1">
      <c r="A290" s="6">
        <v>1961.0</v>
      </c>
      <c r="B290" s="3">
        <v>126.8</v>
      </c>
      <c r="C290" s="6">
        <f t="shared" si="1"/>
        <v>545.942754</v>
      </c>
      <c r="D290" s="3">
        <v>0.17598</v>
      </c>
      <c r="E290" s="6">
        <v>182516.0</v>
      </c>
      <c r="F290" s="6">
        <v>1.0</v>
      </c>
      <c r="G290" s="6">
        <v>6.8</v>
      </c>
      <c r="H290" s="7">
        <v>7.7</v>
      </c>
      <c r="I290" s="3">
        <v>3102.3</v>
      </c>
      <c r="J290" s="3">
        <v>91.8</v>
      </c>
      <c r="K290" s="3">
        <v>3295.114</v>
      </c>
      <c r="L290" s="8">
        <v>3214.0</v>
      </c>
      <c r="M290" s="3">
        <v>3266.1640625</v>
      </c>
    </row>
    <row r="291" ht="12.0" customHeight="1">
      <c r="A291" s="6">
        <v>1961.25</v>
      </c>
      <c r="B291" s="3">
        <v>127.9</v>
      </c>
      <c r="C291" s="6">
        <f t="shared" si="1"/>
        <v>557.437959</v>
      </c>
      <c r="D291" s="3">
        <v>0.17641</v>
      </c>
      <c r="E291" s="6">
        <v>183220.0</v>
      </c>
      <c r="F291" s="6">
        <v>0.0</v>
      </c>
      <c r="G291" s="6">
        <v>7.0</v>
      </c>
      <c r="H291" s="7">
        <v>31.1</v>
      </c>
      <c r="I291" s="3">
        <v>3159.9</v>
      </c>
      <c r="J291" s="3">
        <v>93.8</v>
      </c>
      <c r="K291" s="3">
        <v>3325.512</v>
      </c>
      <c r="L291" s="8">
        <v>3248.0</v>
      </c>
      <c r="M291" s="3">
        <v>3294.97509765625</v>
      </c>
    </row>
    <row r="292" ht="12.0" customHeight="1">
      <c r="A292" s="6">
        <v>1961.5</v>
      </c>
      <c r="B292" s="3">
        <v>130.6</v>
      </c>
      <c r="C292" s="6">
        <f t="shared" si="1"/>
        <v>568.212562</v>
      </c>
      <c r="D292" s="3">
        <v>0.17687</v>
      </c>
      <c r="E292" s="6">
        <v>183964.0</v>
      </c>
      <c r="F292" s="6">
        <v>0.0</v>
      </c>
      <c r="G292" s="6">
        <v>6.8</v>
      </c>
      <c r="H292" s="7">
        <v>3.5</v>
      </c>
      <c r="I292" s="3">
        <v>3212.6</v>
      </c>
      <c r="J292" s="3">
        <v>95.6</v>
      </c>
      <c r="K292" s="3">
        <v>3356.161</v>
      </c>
      <c r="L292" s="8">
        <v>3282.0</v>
      </c>
      <c r="M292" s="3">
        <v>3324.040283203125</v>
      </c>
    </row>
    <row r="293" ht="12.0" customHeight="1">
      <c r="A293" s="6">
        <v>1961.75</v>
      </c>
      <c r="B293" s="3">
        <v>134.2</v>
      </c>
      <c r="C293" s="6">
        <f t="shared" si="1"/>
        <v>581.627865</v>
      </c>
      <c r="D293" s="3">
        <v>0.17745</v>
      </c>
      <c r="E293" s="6">
        <v>184774.0</v>
      </c>
      <c r="F293" s="6">
        <v>0.0</v>
      </c>
      <c r="G293" s="6">
        <v>6.2</v>
      </c>
      <c r="H293" s="7">
        <v>-1.0</v>
      </c>
      <c r="I293" s="3">
        <v>3277.7</v>
      </c>
      <c r="J293" s="3">
        <v>99.1</v>
      </c>
      <c r="K293" s="3">
        <v>3387.068</v>
      </c>
      <c r="L293" s="8">
        <v>3317.0</v>
      </c>
      <c r="M293" s="3">
        <v>3353.365234375</v>
      </c>
    </row>
    <row r="294" ht="12.0" customHeight="1">
      <c r="A294" s="6">
        <v>1962.0</v>
      </c>
      <c r="B294" s="3">
        <v>137.8</v>
      </c>
      <c r="C294" s="6">
        <f t="shared" si="1"/>
        <v>595.185016</v>
      </c>
      <c r="D294" s="3">
        <v>0.17837</v>
      </c>
      <c r="E294" s="6">
        <v>185448.0</v>
      </c>
      <c r="F294" s="6">
        <v>0.0</v>
      </c>
      <c r="G294" s="6">
        <v>5.6</v>
      </c>
      <c r="H294" s="7">
        <v>2.0</v>
      </c>
      <c r="I294" s="3">
        <v>3336.8</v>
      </c>
      <c r="J294" s="3">
        <v>100.6</v>
      </c>
      <c r="K294" s="3">
        <v>3418.226</v>
      </c>
      <c r="L294" s="8">
        <v>3351.0</v>
      </c>
      <c r="M294" s="3">
        <v>3390.887939453125</v>
      </c>
    </row>
    <row r="295" ht="12.0" customHeight="1">
      <c r="A295" s="6">
        <v>1962.25</v>
      </c>
      <c r="B295" s="3">
        <v>139.1</v>
      </c>
      <c r="C295" s="6">
        <f t="shared" si="1"/>
        <v>602.566582</v>
      </c>
      <c r="D295" s="3">
        <v>0.17866</v>
      </c>
      <c r="E295" s="6">
        <v>186092.0</v>
      </c>
      <c r="F295" s="6">
        <v>0.0</v>
      </c>
      <c r="G295" s="6">
        <v>5.5</v>
      </c>
      <c r="H295" s="7">
        <v>0.0</v>
      </c>
      <c r="I295" s="3">
        <v>3372.7</v>
      </c>
      <c r="J295" s="3">
        <v>102.1</v>
      </c>
      <c r="K295" s="3">
        <v>3449.648</v>
      </c>
      <c r="L295" s="8">
        <v>3387.0</v>
      </c>
      <c r="M295" s="3">
        <v>3428.830810546875</v>
      </c>
    </row>
    <row r="296" ht="12.0" customHeight="1">
      <c r="A296" s="6">
        <v>1962.5</v>
      </c>
      <c r="B296" s="3">
        <v>142.7</v>
      </c>
      <c r="C296" s="6">
        <f t="shared" si="1"/>
        <v>609.561344</v>
      </c>
      <c r="D296" s="3">
        <v>0.17903</v>
      </c>
      <c r="E296" s="6">
        <v>186795.0</v>
      </c>
      <c r="F296" s="6">
        <v>0.0</v>
      </c>
      <c r="G296" s="6">
        <v>5.6</v>
      </c>
      <c r="H296" s="7">
        <v>0.0</v>
      </c>
      <c r="I296" s="3">
        <v>3404.8</v>
      </c>
      <c r="J296" s="3">
        <v>104.4</v>
      </c>
      <c r="K296" s="3">
        <v>3481.333</v>
      </c>
      <c r="L296" s="8">
        <v>3423.0</v>
      </c>
      <c r="M296" s="3">
        <v>3467.197998046875</v>
      </c>
    </row>
    <row r="297" ht="12.0" customHeight="1">
      <c r="A297" s="6">
        <v>1962.75</v>
      </c>
      <c r="B297" s="3">
        <v>144.2</v>
      </c>
      <c r="C297" s="6">
        <f t="shared" si="1"/>
        <v>613.12084</v>
      </c>
      <c r="D297" s="3">
        <v>0.17938</v>
      </c>
      <c r="E297" s="6">
        <v>187564.0</v>
      </c>
      <c r="F297" s="6">
        <v>0.0</v>
      </c>
      <c r="G297" s="6">
        <v>5.5</v>
      </c>
      <c r="H297" s="7">
        <v>0.0</v>
      </c>
      <c r="I297" s="3">
        <v>3418.0</v>
      </c>
      <c r="J297" s="3">
        <v>105.6</v>
      </c>
      <c r="K297" s="3">
        <v>3513.271</v>
      </c>
      <c r="L297" s="8">
        <v>3460.0</v>
      </c>
      <c r="M297" s="3">
        <v>3505.99462890625</v>
      </c>
    </row>
    <row r="298" ht="12.0" customHeight="1">
      <c r="A298" s="6">
        <v>1963.0</v>
      </c>
      <c r="B298" s="3">
        <v>144.4</v>
      </c>
      <c r="C298" s="6">
        <f t="shared" si="1"/>
        <v>622.685537</v>
      </c>
      <c r="D298" s="3">
        <v>0.18017</v>
      </c>
      <c r="E298" s="6">
        <v>188204.0</v>
      </c>
      <c r="F298" s="6">
        <v>0.0</v>
      </c>
      <c r="G298" s="6">
        <v>5.8</v>
      </c>
      <c r="H298" s="7">
        <v>0.0</v>
      </c>
      <c r="I298" s="3">
        <v>3456.1</v>
      </c>
      <c r="J298" s="3">
        <v>108.7</v>
      </c>
      <c r="K298" s="3">
        <v>3545.472</v>
      </c>
      <c r="L298" s="8">
        <v>3497.0</v>
      </c>
      <c r="M298" s="3">
        <v>3543.79541015625</v>
      </c>
    </row>
    <row r="299" ht="12.0" customHeight="1">
      <c r="A299" s="6">
        <v>1963.25</v>
      </c>
      <c r="B299" s="3">
        <v>144.8</v>
      </c>
      <c r="C299" s="6">
        <f t="shared" si="1"/>
        <v>631.843517</v>
      </c>
      <c r="D299" s="3">
        <v>0.18047</v>
      </c>
      <c r="E299" s="6">
        <v>188796.0</v>
      </c>
      <c r="F299" s="6">
        <v>0.0</v>
      </c>
      <c r="G299" s="6">
        <v>5.7</v>
      </c>
      <c r="H299" s="7">
        <v>0.0</v>
      </c>
      <c r="I299" s="3">
        <v>3501.1</v>
      </c>
      <c r="J299" s="3">
        <v>110.9</v>
      </c>
      <c r="K299" s="3">
        <v>3577.941</v>
      </c>
      <c r="L299" s="8">
        <v>3534.0</v>
      </c>
      <c r="M299" s="3">
        <v>3582.00390625</v>
      </c>
    </row>
    <row r="300" ht="12.0" customHeight="1">
      <c r="A300" s="6">
        <v>1963.5</v>
      </c>
      <c r="B300" s="3">
        <v>150.6</v>
      </c>
      <c r="C300" s="6">
        <f t="shared" si="1"/>
        <v>644.972955</v>
      </c>
      <c r="D300" s="3">
        <v>0.18069</v>
      </c>
      <c r="E300" s="6">
        <v>189500.0</v>
      </c>
      <c r="F300" s="6">
        <v>0.0</v>
      </c>
      <c r="G300" s="6">
        <v>5.5</v>
      </c>
      <c r="H300" s="7">
        <v>-7.1</v>
      </c>
      <c r="I300" s="3">
        <v>3569.5</v>
      </c>
      <c r="J300" s="3">
        <v>112.1</v>
      </c>
      <c r="K300" s="3">
        <v>3610.683</v>
      </c>
      <c r="L300" s="8">
        <v>3572.0</v>
      </c>
      <c r="M300" s="3">
        <v>3620.620849609375</v>
      </c>
    </row>
    <row r="301" ht="12.0" customHeight="1">
      <c r="A301" s="6">
        <v>1963.75</v>
      </c>
      <c r="B301" s="3">
        <v>151.7</v>
      </c>
      <c r="C301" s="6">
        <f t="shared" si="1"/>
        <v>654.8652</v>
      </c>
      <c r="D301" s="3">
        <v>0.18216</v>
      </c>
      <c r="E301" s="6">
        <v>190255.0</v>
      </c>
      <c r="F301" s="6">
        <v>0.0</v>
      </c>
      <c r="G301" s="6">
        <v>5.6</v>
      </c>
      <c r="H301" s="7">
        <v>0.0</v>
      </c>
      <c r="I301" s="3">
        <v>3595.0</v>
      </c>
      <c r="J301" s="3">
        <v>113.7</v>
      </c>
      <c r="K301" s="3">
        <v>3643.683</v>
      </c>
      <c r="L301" s="8">
        <v>3610.0</v>
      </c>
      <c r="M301" s="3">
        <v>3659.657470703125</v>
      </c>
    </row>
    <row r="302" ht="12.0" customHeight="1">
      <c r="A302" s="6">
        <v>1964.0</v>
      </c>
      <c r="B302" s="3">
        <v>153.3</v>
      </c>
      <c r="C302" s="6">
        <f t="shared" si="1"/>
        <v>671.149198</v>
      </c>
      <c r="D302" s="3">
        <v>0.18274</v>
      </c>
      <c r="E302" s="6">
        <v>190858.0</v>
      </c>
      <c r="F302" s="6">
        <v>0.0</v>
      </c>
      <c r="G302" s="6">
        <v>5.5</v>
      </c>
      <c r="H302" s="7">
        <v>-4.6</v>
      </c>
      <c r="I302" s="3">
        <v>3672.7</v>
      </c>
      <c r="J302" s="3">
        <v>112.3</v>
      </c>
      <c r="K302" s="3">
        <v>3676.95</v>
      </c>
      <c r="L302" s="8">
        <v>3648.0</v>
      </c>
      <c r="M302" s="3">
        <v>3699.478515625</v>
      </c>
    </row>
    <row r="303" ht="12.0" customHeight="1">
      <c r="A303" s="6">
        <v>1964.25</v>
      </c>
      <c r="B303" s="3">
        <v>155.1</v>
      </c>
      <c r="C303" s="6">
        <f t="shared" si="1"/>
        <v>680.770152</v>
      </c>
      <c r="D303" s="3">
        <v>0.18318</v>
      </c>
      <c r="E303" s="6">
        <v>191453.0</v>
      </c>
      <c r="F303" s="6">
        <v>0.0</v>
      </c>
      <c r="G303" s="6">
        <v>5.2</v>
      </c>
      <c r="H303" s="7">
        <v>0.0</v>
      </c>
      <c r="I303" s="3">
        <v>3716.4</v>
      </c>
      <c r="J303" s="3">
        <v>108.6</v>
      </c>
      <c r="K303" s="3">
        <v>3710.492</v>
      </c>
      <c r="L303" s="8">
        <v>3686.0</v>
      </c>
      <c r="M303" s="3">
        <v>3739.736328125</v>
      </c>
    </row>
    <row r="304" ht="12.0" customHeight="1">
      <c r="A304" s="6">
        <v>1964.5</v>
      </c>
      <c r="B304" s="3">
        <v>156.8</v>
      </c>
      <c r="C304" s="6">
        <f t="shared" si="1"/>
        <v>692.808248</v>
      </c>
      <c r="D304" s="3">
        <v>0.18392</v>
      </c>
      <c r="E304" s="6">
        <v>192132.0</v>
      </c>
      <c r="F304" s="6">
        <v>0.0</v>
      </c>
      <c r="G304" s="6">
        <v>5.0</v>
      </c>
      <c r="H304" s="7">
        <v>0.0</v>
      </c>
      <c r="I304" s="3">
        <v>3766.9</v>
      </c>
      <c r="J304" s="3">
        <v>111.4</v>
      </c>
      <c r="K304" s="3">
        <v>3744.308</v>
      </c>
      <c r="L304" s="8">
        <v>3725.0</v>
      </c>
      <c r="M304" s="3">
        <v>3780.4287109375</v>
      </c>
    </row>
    <row r="305" ht="12.0" customHeight="1">
      <c r="A305" s="6">
        <v>1964.75</v>
      </c>
      <c r="B305" s="3">
        <v>156.9</v>
      </c>
      <c r="C305" s="6">
        <f t="shared" si="1"/>
        <v>698.429752</v>
      </c>
      <c r="D305" s="3">
        <v>0.18476</v>
      </c>
      <c r="E305" s="6">
        <v>192839.0</v>
      </c>
      <c r="F305" s="6">
        <v>0.0</v>
      </c>
      <c r="G305" s="6">
        <v>5.0</v>
      </c>
      <c r="H305" s="7">
        <v>0.0</v>
      </c>
      <c r="I305" s="3">
        <v>3780.2</v>
      </c>
      <c r="J305" s="3">
        <v>113.0</v>
      </c>
      <c r="K305" s="3">
        <v>3778.392</v>
      </c>
      <c r="L305" s="8">
        <v>3764.0</v>
      </c>
      <c r="M305" s="3">
        <v>3821.563720703125</v>
      </c>
    </row>
    <row r="306" ht="12.0" customHeight="1">
      <c r="A306" s="6">
        <v>1965.0</v>
      </c>
      <c r="B306" s="3">
        <v>157.8</v>
      </c>
      <c r="C306" s="6">
        <f t="shared" si="1"/>
        <v>719.270215</v>
      </c>
      <c r="D306" s="3">
        <v>0.18569</v>
      </c>
      <c r="E306" s="6">
        <v>193385.0</v>
      </c>
      <c r="F306" s="6">
        <v>0.0</v>
      </c>
      <c r="G306" s="6">
        <v>4.9</v>
      </c>
      <c r="H306" s="7">
        <v>2.2</v>
      </c>
      <c r="I306" s="3">
        <v>3873.5</v>
      </c>
      <c r="J306" s="3">
        <v>119.0</v>
      </c>
      <c r="K306" s="3">
        <v>3812.75</v>
      </c>
      <c r="L306" s="8">
        <v>3804.0</v>
      </c>
      <c r="M306" s="3">
        <v>3864.0419921875</v>
      </c>
    </row>
    <row r="307" ht="12.0" customHeight="1">
      <c r="A307" s="6">
        <v>1965.25</v>
      </c>
      <c r="B307" s="3">
        <v>160.6</v>
      </c>
      <c r="C307" s="6">
        <f t="shared" si="1"/>
        <v>732.352128</v>
      </c>
      <c r="D307" s="3">
        <v>0.18652</v>
      </c>
      <c r="E307" s="6">
        <v>193895.0</v>
      </c>
      <c r="F307" s="6">
        <v>0.0</v>
      </c>
      <c r="G307" s="6">
        <v>4.7</v>
      </c>
      <c r="H307" s="7">
        <v>1.4</v>
      </c>
      <c r="I307" s="3">
        <v>3926.4</v>
      </c>
      <c r="J307" s="3">
        <v>120.9</v>
      </c>
      <c r="K307" s="3">
        <v>3847.392</v>
      </c>
      <c r="L307" s="8">
        <v>3844.0</v>
      </c>
      <c r="M307" s="3">
        <v>3906.9921875</v>
      </c>
    </row>
    <row r="308" ht="12.0" customHeight="1">
      <c r="A308" s="6">
        <v>1965.5</v>
      </c>
      <c r="B308" s="3">
        <v>167.6</v>
      </c>
      <c r="C308" s="6">
        <f t="shared" si="1"/>
        <v>750.201012</v>
      </c>
      <c r="D308" s="3">
        <v>0.18726</v>
      </c>
      <c r="E308" s="6">
        <v>194531.0</v>
      </c>
      <c r="F308" s="6">
        <v>0.0</v>
      </c>
      <c r="G308" s="6">
        <v>4.4</v>
      </c>
      <c r="H308" s="7">
        <v>14.0</v>
      </c>
      <c r="I308" s="3">
        <v>4006.2</v>
      </c>
      <c r="J308" s="3">
        <v>119.2</v>
      </c>
      <c r="K308" s="3">
        <v>3882.307</v>
      </c>
      <c r="L308" s="8">
        <v>3885.0</v>
      </c>
      <c r="M308" s="3">
        <v>3950.419677734375</v>
      </c>
    </row>
    <row r="309" ht="12.0" customHeight="1">
      <c r="A309" s="6">
        <v>1965.75</v>
      </c>
      <c r="B309" s="3">
        <v>173.5</v>
      </c>
      <c r="C309" s="6">
        <f t="shared" si="1"/>
        <v>773.086118</v>
      </c>
      <c r="D309" s="3">
        <v>0.18853</v>
      </c>
      <c r="E309" s="6">
        <v>195188.0</v>
      </c>
      <c r="F309" s="6">
        <v>0.0</v>
      </c>
      <c r="G309" s="6">
        <v>4.1</v>
      </c>
      <c r="H309" s="7">
        <v>0.0</v>
      </c>
      <c r="I309" s="3">
        <v>4100.6</v>
      </c>
      <c r="J309" s="3">
        <v>122.6</v>
      </c>
      <c r="K309" s="3">
        <v>3917.506</v>
      </c>
      <c r="L309" s="8">
        <v>3927.0</v>
      </c>
      <c r="M309" s="3">
        <v>3994.330078125</v>
      </c>
    </row>
    <row r="310" ht="12.0" customHeight="1">
      <c r="A310" s="6">
        <v>1966.0</v>
      </c>
      <c r="B310" s="3">
        <v>177.9</v>
      </c>
      <c r="C310" s="6">
        <f t="shared" si="1"/>
        <v>797.310525</v>
      </c>
      <c r="D310" s="3">
        <v>0.18975</v>
      </c>
      <c r="E310" s="6">
        <v>195686.0</v>
      </c>
      <c r="F310" s="6">
        <v>0.0</v>
      </c>
      <c r="G310" s="6">
        <v>3.9</v>
      </c>
      <c r="H310" s="7">
        <v>0.0</v>
      </c>
      <c r="I310" s="3">
        <v>4201.9</v>
      </c>
      <c r="J310" s="3">
        <v>132.0</v>
      </c>
      <c r="K310" s="3">
        <v>3952.975</v>
      </c>
      <c r="L310" s="8">
        <v>3970.0</v>
      </c>
      <c r="M310" s="3">
        <v>4041.568115234375</v>
      </c>
    </row>
    <row r="311" ht="12.0" customHeight="1">
      <c r="A311" s="6">
        <v>1966.25</v>
      </c>
      <c r="B311" s="3">
        <v>182.6</v>
      </c>
      <c r="C311" s="6">
        <f t="shared" si="1"/>
        <v>807.156021</v>
      </c>
      <c r="D311" s="3">
        <v>0.19131</v>
      </c>
      <c r="E311" s="6">
        <v>196183.0</v>
      </c>
      <c r="F311" s="6">
        <v>0.0</v>
      </c>
      <c r="G311" s="6">
        <v>3.8</v>
      </c>
      <c r="H311" s="7">
        <v>1.0</v>
      </c>
      <c r="I311" s="3">
        <v>4219.1</v>
      </c>
      <c r="J311" s="3">
        <v>136.7</v>
      </c>
      <c r="K311" s="3">
        <v>3988.738</v>
      </c>
      <c r="L311" s="8">
        <v>4014.0</v>
      </c>
      <c r="M311" s="3">
        <v>4089.36474609375</v>
      </c>
    </row>
    <row r="312" ht="12.0" customHeight="1">
      <c r="A312" s="6">
        <v>1966.5</v>
      </c>
      <c r="B312" s="3">
        <v>190.4</v>
      </c>
      <c r="C312" s="6">
        <f t="shared" si="1"/>
        <v>820.817964</v>
      </c>
      <c r="D312" s="3">
        <v>0.19317</v>
      </c>
      <c r="E312" s="6">
        <v>196769.0</v>
      </c>
      <c r="F312" s="6">
        <v>0.0</v>
      </c>
      <c r="G312" s="6">
        <v>3.8</v>
      </c>
      <c r="H312" s="7">
        <v>11.0</v>
      </c>
      <c r="I312" s="3">
        <v>4249.2</v>
      </c>
      <c r="J312" s="3">
        <v>139.1</v>
      </c>
      <c r="K312" s="3">
        <v>4024.787</v>
      </c>
      <c r="L312" s="8">
        <v>4059.0</v>
      </c>
      <c r="M312" s="3">
        <v>4137.73095703125</v>
      </c>
    </row>
    <row r="313" ht="12.0" customHeight="1">
      <c r="A313" s="6">
        <v>1966.75</v>
      </c>
      <c r="B313" s="3">
        <v>194.7</v>
      </c>
      <c r="C313" s="6">
        <f t="shared" si="1"/>
        <v>834.877736</v>
      </c>
      <c r="D313" s="3">
        <v>0.19481</v>
      </c>
      <c r="E313" s="6">
        <v>197392.0</v>
      </c>
      <c r="F313" s="6">
        <v>0.0</v>
      </c>
      <c r="G313" s="6">
        <v>3.7</v>
      </c>
      <c r="H313" s="7">
        <v>21.8</v>
      </c>
      <c r="I313" s="3">
        <v>4285.6</v>
      </c>
      <c r="J313" s="3">
        <v>141.8</v>
      </c>
      <c r="K313" s="3">
        <v>4061.111</v>
      </c>
      <c r="L313" s="8">
        <v>4105.0</v>
      </c>
      <c r="M313" s="3">
        <v>4186.66455078125</v>
      </c>
    </row>
    <row r="314" ht="12.0" customHeight="1">
      <c r="A314" s="6">
        <v>1967.0</v>
      </c>
      <c r="B314" s="3">
        <v>203.6</v>
      </c>
      <c r="C314" s="6">
        <f t="shared" si="1"/>
        <v>846.036938</v>
      </c>
      <c r="D314" s="3">
        <v>0.19562</v>
      </c>
      <c r="E314" s="6">
        <v>197888.0</v>
      </c>
      <c r="F314" s="6">
        <v>0.0</v>
      </c>
      <c r="G314" s="6">
        <v>3.8</v>
      </c>
      <c r="H314" s="7">
        <v>38.8</v>
      </c>
      <c r="I314" s="3">
        <v>4324.9</v>
      </c>
      <c r="J314" s="3">
        <v>142.6</v>
      </c>
      <c r="K314" s="3">
        <v>4097.723</v>
      </c>
      <c r="L314" s="8">
        <v>4152.0</v>
      </c>
      <c r="M314" s="3">
        <v>4238.064453125</v>
      </c>
    </row>
    <row r="315" ht="12.0" customHeight="1">
      <c r="A315" s="6">
        <v>1967.25</v>
      </c>
      <c r="B315" s="3">
        <v>204.8</v>
      </c>
      <c r="C315" s="6">
        <f t="shared" si="1"/>
        <v>851.065707</v>
      </c>
      <c r="D315" s="3">
        <v>0.19661</v>
      </c>
      <c r="E315" s="6">
        <v>198369.0</v>
      </c>
      <c r="F315" s="6">
        <v>0.0</v>
      </c>
      <c r="G315" s="6">
        <v>3.8</v>
      </c>
      <c r="H315" s="7">
        <v>6.0</v>
      </c>
      <c r="I315" s="3">
        <v>4328.7</v>
      </c>
      <c r="J315" s="3">
        <v>143.7</v>
      </c>
      <c r="K315" s="3">
        <v>4134.634</v>
      </c>
      <c r="L315" s="8">
        <v>4198.0</v>
      </c>
      <c r="M315" s="3">
        <v>4290.09912109375</v>
      </c>
    </row>
    <row r="316" ht="12.0" customHeight="1">
      <c r="A316" s="6">
        <v>1967.5</v>
      </c>
      <c r="B316" s="3">
        <v>209.4</v>
      </c>
      <c r="C316" s="6">
        <f t="shared" si="1"/>
        <v>866.627189</v>
      </c>
      <c r="D316" s="3">
        <v>0.19849</v>
      </c>
      <c r="E316" s="6">
        <v>198912.0</v>
      </c>
      <c r="F316" s="6">
        <v>0.0</v>
      </c>
      <c r="G316" s="6">
        <v>3.8</v>
      </c>
      <c r="H316" s="7">
        <v>3.8</v>
      </c>
      <c r="I316" s="3">
        <v>4366.1</v>
      </c>
      <c r="J316" s="3">
        <v>147.2</v>
      </c>
      <c r="K316" s="3">
        <v>4171.838</v>
      </c>
      <c r="L316" s="8">
        <v>4245.0</v>
      </c>
      <c r="M316" s="3">
        <v>4342.77294921875</v>
      </c>
    </row>
    <row r="317" ht="12.0" customHeight="1">
      <c r="A317" s="6">
        <v>1967.75</v>
      </c>
      <c r="B317" s="3">
        <v>214.4</v>
      </c>
      <c r="C317" s="6">
        <f t="shared" si="1"/>
        <v>883.188804</v>
      </c>
      <c r="D317" s="3">
        <v>0.20067</v>
      </c>
      <c r="E317" s="6">
        <v>199489.0</v>
      </c>
      <c r="F317" s="6">
        <v>0.0</v>
      </c>
      <c r="G317" s="6">
        <v>3.9</v>
      </c>
      <c r="H317" s="7">
        <v>-10.0</v>
      </c>
      <c r="I317" s="3">
        <v>4401.2</v>
      </c>
      <c r="J317" s="3">
        <v>151.5</v>
      </c>
      <c r="K317" s="3">
        <v>4209.321</v>
      </c>
      <c r="L317" s="8">
        <v>4291.0</v>
      </c>
      <c r="M317" s="3">
        <v>4396.08935546875</v>
      </c>
    </row>
    <row r="318" ht="12.0" customHeight="1">
      <c r="A318" s="6">
        <v>1968.0</v>
      </c>
      <c r="B318" s="3">
        <v>220.9</v>
      </c>
      <c r="C318" s="6">
        <f t="shared" si="1"/>
        <v>911.14274</v>
      </c>
      <c r="D318" s="3">
        <v>0.2029</v>
      </c>
      <c r="E318" s="6">
        <v>199928.0</v>
      </c>
      <c r="F318" s="6">
        <v>0.0</v>
      </c>
      <c r="G318" s="6">
        <v>3.7</v>
      </c>
      <c r="H318" s="7">
        <v>5.0</v>
      </c>
      <c r="I318" s="3">
        <v>4490.6</v>
      </c>
      <c r="J318" s="3">
        <v>160.3</v>
      </c>
      <c r="K318" s="3">
        <v>4247.099</v>
      </c>
      <c r="L318" s="8">
        <v>4337.0</v>
      </c>
      <c r="M318" s="3">
        <v>4450.22998046875</v>
      </c>
    </row>
    <row r="319" ht="12.0" customHeight="1">
      <c r="A319" s="6">
        <v>1968.25</v>
      </c>
      <c r="B319" s="3">
        <v>224.8</v>
      </c>
      <c r="C319" s="6">
        <f t="shared" si="1"/>
        <v>936.294656</v>
      </c>
      <c r="D319" s="3">
        <v>0.20504</v>
      </c>
      <c r="E319" s="6">
        <v>200368.0</v>
      </c>
      <c r="F319" s="6">
        <v>0.0</v>
      </c>
      <c r="G319" s="6">
        <v>3.6</v>
      </c>
      <c r="H319" s="7">
        <v>-23.3</v>
      </c>
      <c r="I319" s="3">
        <v>4566.4</v>
      </c>
      <c r="J319" s="3">
        <v>165.0</v>
      </c>
      <c r="K319" s="3">
        <v>4285.176</v>
      </c>
      <c r="L319" s="8">
        <v>4382.0</v>
      </c>
      <c r="M319" s="3">
        <v>4505.03759765625</v>
      </c>
    </row>
    <row r="320" ht="12.0" customHeight="1">
      <c r="A320" s="6">
        <v>1968.5</v>
      </c>
      <c r="B320" s="3">
        <v>228.6</v>
      </c>
      <c r="C320" s="6">
        <f t="shared" si="1"/>
        <v>952.331058</v>
      </c>
      <c r="D320" s="3">
        <v>0.20706</v>
      </c>
      <c r="E320" s="6">
        <v>200900.0</v>
      </c>
      <c r="F320" s="6">
        <v>0.0</v>
      </c>
      <c r="G320" s="6">
        <v>3.5</v>
      </c>
      <c r="H320" s="7">
        <v>0.0</v>
      </c>
      <c r="I320" s="3">
        <v>4599.3</v>
      </c>
      <c r="J320" s="3">
        <v>176.1</v>
      </c>
      <c r="K320" s="3">
        <v>4323.549</v>
      </c>
      <c r="L320" s="8">
        <v>4428.0</v>
      </c>
      <c r="M320" s="3">
        <v>4560.51953125</v>
      </c>
    </row>
    <row r="321" ht="12.0" customHeight="1">
      <c r="A321" s="6">
        <v>1968.75</v>
      </c>
      <c r="B321" s="3">
        <v>232.7</v>
      </c>
      <c r="C321" s="6">
        <f t="shared" si="1"/>
        <v>970.111802</v>
      </c>
      <c r="D321" s="3">
        <v>0.20999</v>
      </c>
      <c r="E321" s="6">
        <v>201459.0</v>
      </c>
      <c r="F321" s="6">
        <v>0.0</v>
      </c>
      <c r="G321" s="6">
        <v>3.4</v>
      </c>
      <c r="H321" s="7">
        <v>0.0</v>
      </c>
      <c r="I321" s="3">
        <v>4619.8</v>
      </c>
      <c r="J321" s="3">
        <v>180.9</v>
      </c>
      <c r="K321" s="3">
        <v>4362.22</v>
      </c>
      <c r="L321" s="8">
        <v>4473.0</v>
      </c>
      <c r="M321" s="3">
        <v>4616.685546875</v>
      </c>
    </row>
    <row r="322" ht="12.0" customHeight="1">
      <c r="A322" s="6">
        <v>1969.0</v>
      </c>
      <c r="B322" s="3">
        <v>235.0</v>
      </c>
      <c r="C322" s="6">
        <f t="shared" si="1"/>
        <v>995.416772</v>
      </c>
      <c r="D322" s="3">
        <v>0.21217</v>
      </c>
      <c r="E322" s="6">
        <v>201888.0</v>
      </c>
      <c r="F322" s="6">
        <v>0.0</v>
      </c>
      <c r="G322" s="6">
        <v>3.4</v>
      </c>
      <c r="H322" s="7">
        <v>0.0</v>
      </c>
      <c r="I322" s="3">
        <v>4691.6</v>
      </c>
      <c r="J322" s="3">
        <v>190.3</v>
      </c>
      <c r="K322" s="3">
        <v>4401.194</v>
      </c>
      <c r="L322" s="8">
        <v>4518.0</v>
      </c>
      <c r="M322" s="3">
        <v>4670.3837890625</v>
      </c>
    </row>
    <row r="323" ht="12.0" customHeight="1">
      <c r="A323" s="6">
        <v>1969.25</v>
      </c>
      <c r="B323" s="3">
        <v>238.2</v>
      </c>
      <c r="C323" s="6">
        <f t="shared" si="1"/>
        <v>1011.375696</v>
      </c>
      <c r="D323" s="3">
        <v>0.21488</v>
      </c>
      <c r="E323" s="6">
        <v>202333.0</v>
      </c>
      <c r="F323" s="6">
        <v>0.0</v>
      </c>
      <c r="G323" s="6">
        <v>3.4</v>
      </c>
      <c r="H323" s="7">
        <v>0.0</v>
      </c>
      <c r="I323" s="3">
        <v>4706.7</v>
      </c>
      <c r="J323" s="3">
        <v>193.4</v>
      </c>
      <c r="K323" s="3">
        <v>4440.467</v>
      </c>
      <c r="L323" s="8">
        <v>4563.0</v>
      </c>
      <c r="M323" s="3">
        <v>4724.71142578125</v>
      </c>
    </row>
    <row r="324" ht="12.0" customHeight="1">
      <c r="A324" s="6">
        <v>1969.5</v>
      </c>
      <c r="B324" s="3">
        <v>244.0</v>
      </c>
      <c r="C324" s="6">
        <f t="shared" si="1"/>
        <v>1031.99619</v>
      </c>
      <c r="D324" s="3">
        <v>0.2179</v>
      </c>
      <c r="E324" s="6">
        <v>202881.0</v>
      </c>
      <c r="F324" s="6">
        <v>0.0</v>
      </c>
      <c r="G324" s="6">
        <v>3.6</v>
      </c>
      <c r="H324" s="7">
        <v>0.0</v>
      </c>
      <c r="I324" s="3">
        <v>4736.1</v>
      </c>
      <c r="J324" s="3">
        <v>191.1</v>
      </c>
      <c r="K324" s="3">
        <v>4480.046</v>
      </c>
      <c r="L324" s="8">
        <v>4607.0</v>
      </c>
      <c r="M324" s="3">
        <v>4779.66650390625</v>
      </c>
    </row>
    <row r="325" ht="12.0" customHeight="1">
      <c r="A325" s="6">
        <v>1969.75</v>
      </c>
      <c r="B325" s="3">
        <v>244.3</v>
      </c>
      <c r="C325" s="6">
        <f t="shared" si="1"/>
        <v>1040.758005</v>
      </c>
      <c r="D325" s="3">
        <v>0.22071</v>
      </c>
      <c r="E325" s="6">
        <v>203492.0</v>
      </c>
      <c r="F325" s="6">
        <v>0.0</v>
      </c>
      <c r="G325" s="6">
        <v>3.6</v>
      </c>
      <c r="H325" s="7">
        <v>0.0</v>
      </c>
      <c r="I325" s="3">
        <v>4715.5</v>
      </c>
      <c r="J325" s="3">
        <v>192.5</v>
      </c>
      <c r="K325" s="3">
        <v>4519.932</v>
      </c>
      <c r="L325" s="8">
        <v>4650.0</v>
      </c>
      <c r="M325" s="3">
        <v>4835.26025390625</v>
      </c>
    </row>
    <row r="326" ht="12.0" customHeight="1">
      <c r="A326" s="6">
        <v>1970.0</v>
      </c>
      <c r="B326" s="3">
        <v>249.4</v>
      </c>
      <c r="C326" s="6">
        <f t="shared" si="1"/>
        <v>1053.543122</v>
      </c>
      <c r="D326" s="3">
        <v>0.22382</v>
      </c>
      <c r="E326" s="6">
        <v>204004.0</v>
      </c>
      <c r="F326" s="6">
        <v>1.0</v>
      </c>
      <c r="G326" s="6">
        <v>4.2</v>
      </c>
      <c r="H326" s="7">
        <v>-5.0</v>
      </c>
      <c r="I326" s="3">
        <v>4707.1</v>
      </c>
      <c r="J326" s="3">
        <v>186.4</v>
      </c>
      <c r="K326" s="3">
        <v>4560.115</v>
      </c>
      <c r="L326" s="8">
        <v>4692.0</v>
      </c>
      <c r="M326" s="3">
        <v>4890.232421875</v>
      </c>
    </row>
    <row r="327" ht="12.0" customHeight="1">
      <c r="A327" s="6">
        <v>1970.25</v>
      </c>
      <c r="B327" s="3">
        <v>250.7</v>
      </c>
      <c r="C327" s="6">
        <f t="shared" si="1"/>
        <v>1070.112876</v>
      </c>
      <c r="D327" s="3">
        <v>0.22694</v>
      </c>
      <c r="E327" s="6">
        <v>204613.0</v>
      </c>
      <c r="F327" s="6">
        <v>1.0</v>
      </c>
      <c r="G327" s="6">
        <v>4.8</v>
      </c>
      <c r="H327" s="7">
        <v>-3.0</v>
      </c>
      <c r="I327" s="3">
        <v>4715.4</v>
      </c>
      <c r="J327" s="3">
        <v>187.4</v>
      </c>
      <c r="K327" s="3">
        <v>4600.621</v>
      </c>
      <c r="L327" s="8">
        <v>4733.0</v>
      </c>
      <c r="M327" s="3">
        <v>4945.82470703125</v>
      </c>
    </row>
    <row r="328" ht="12.0" customHeight="1">
      <c r="A328" s="6">
        <v>1970.5</v>
      </c>
      <c r="B328" s="3">
        <v>256.2</v>
      </c>
      <c r="C328" s="6">
        <f t="shared" si="1"/>
        <v>1088.44736</v>
      </c>
      <c r="D328" s="3">
        <v>0.2288</v>
      </c>
      <c r="E328" s="6">
        <v>205296.0</v>
      </c>
      <c r="F328" s="6">
        <v>1.0</v>
      </c>
      <c r="G328" s="6">
        <v>5.2</v>
      </c>
      <c r="H328" s="7">
        <v>0.0</v>
      </c>
      <c r="I328" s="3">
        <v>4757.2</v>
      </c>
      <c r="J328" s="3">
        <v>183.8</v>
      </c>
      <c r="K328" s="3">
        <v>4641.429</v>
      </c>
      <c r="L328" s="8">
        <v>4772.0</v>
      </c>
      <c r="M328" s="3">
        <v>5002.048828125</v>
      </c>
    </row>
    <row r="329" ht="12.0" customHeight="1">
      <c r="A329" s="6">
        <v>1970.75</v>
      </c>
      <c r="B329" s="3">
        <v>260.4</v>
      </c>
      <c r="C329" s="6">
        <f t="shared" si="1"/>
        <v>1091.478106</v>
      </c>
      <c r="D329" s="3">
        <v>0.23182</v>
      </c>
      <c r="E329" s="6">
        <v>206017.0</v>
      </c>
      <c r="F329" s="6">
        <v>1.0</v>
      </c>
      <c r="G329" s="6">
        <v>5.8</v>
      </c>
      <c r="H329" s="7">
        <v>0.0</v>
      </c>
      <c r="I329" s="3">
        <v>4708.3</v>
      </c>
      <c r="J329" s="3">
        <v>182.9</v>
      </c>
      <c r="K329" s="3">
        <v>4682.546</v>
      </c>
      <c r="L329" s="8">
        <v>4811.0</v>
      </c>
      <c r="M329" s="3">
        <v>5058.91748046875</v>
      </c>
    </row>
    <row r="330" ht="12.0" customHeight="1">
      <c r="A330" s="6">
        <v>1971.0</v>
      </c>
      <c r="B330" s="3">
        <v>263.7</v>
      </c>
      <c r="C330" s="6">
        <f t="shared" si="1"/>
        <v>1137.800848</v>
      </c>
      <c r="D330" s="3">
        <v>0.23536</v>
      </c>
      <c r="E330" s="6">
        <v>206663.0</v>
      </c>
      <c r="F330" s="6">
        <v>0.0</v>
      </c>
      <c r="G330" s="6">
        <v>5.9</v>
      </c>
      <c r="H330" s="7">
        <v>0.0</v>
      </c>
      <c r="I330" s="3">
        <v>4834.3</v>
      </c>
      <c r="J330" s="3">
        <v>187.5</v>
      </c>
      <c r="K330" s="3">
        <v>4723.973</v>
      </c>
      <c r="L330" s="8">
        <v>4850.0</v>
      </c>
      <c r="M330" s="3">
        <v>5112.87158203125</v>
      </c>
    </row>
    <row r="331" ht="12.0" customHeight="1">
      <c r="A331" s="6">
        <v>1971.25</v>
      </c>
      <c r="B331" s="3">
        <v>268.0</v>
      </c>
      <c r="C331" s="6">
        <f t="shared" si="1"/>
        <v>1159.368674</v>
      </c>
      <c r="D331" s="3">
        <v>0.23846</v>
      </c>
      <c r="E331" s="6">
        <v>207262.0</v>
      </c>
      <c r="F331" s="6">
        <v>0.0</v>
      </c>
      <c r="G331" s="6">
        <v>5.9</v>
      </c>
      <c r="H331" s="7">
        <v>0.0</v>
      </c>
      <c r="I331" s="3">
        <v>4861.9</v>
      </c>
      <c r="J331" s="3">
        <v>190.4</v>
      </c>
      <c r="K331" s="3">
        <v>4765.725</v>
      </c>
      <c r="L331" s="8">
        <v>4888.0</v>
      </c>
      <c r="M331" s="3">
        <v>5167.40087890625</v>
      </c>
    </row>
    <row r="332" ht="12.0" customHeight="1">
      <c r="A332" s="6">
        <v>1971.5</v>
      </c>
      <c r="B332" s="3">
        <v>271.7</v>
      </c>
      <c r="C332" s="6">
        <f t="shared" si="1"/>
        <v>1180.312</v>
      </c>
      <c r="D332" s="3">
        <v>0.24088</v>
      </c>
      <c r="E332" s="6">
        <v>207885.0</v>
      </c>
      <c r="F332" s="6">
        <v>0.0</v>
      </c>
      <c r="G332" s="6">
        <v>6.0</v>
      </c>
      <c r="H332" s="7">
        <v>0.0</v>
      </c>
      <c r="I332" s="3">
        <v>4900.0</v>
      </c>
      <c r="J332" s="3">
        <v>190.8</v>
      </c>
      <c r="K332" s="3">
        <v>4807.791</v>
      </c>
      <c r="L332" s="8">
        <v>4925.0</v>
      </c>
      <c r="M332" s="3">
        <v>5222.51708984375</v>
      </c>
    </row>
    <row r="333" ht="12.0" customHeight="1">
      <c r="A333" s="6">
        <v>1971.75</v>
      </c>
      <c r="B333" s="3">
        <v>274.0</v>
      </c>
      <c r="C333" s="6">
        <f t="shared" si="1"/>
        <v>1193.585184</v>
      </c>
      <c r="D333" s="3">
        <v>0.24288</v>
      </c>
      <c r="E333" s="6">
        <v>208547.0</v>
      </c>
      <c r="F333" s="6">
        <v>0.0</v>
      </c>
      <c r="G333" s="6">
        <v>5.9</v>
      </c>
      <c r="H333" s="7">
        <v>0.0</v>
      </c>
      <c r="I333" s="3">
        <v>4914.3</v>
      </c>
      <c r="J333" s="3">
        <v>194.1</v>
      </c>
      <c r="K333" s="3">
        <v>4850.178</v>
      </c>
      <c r="L333" s="8">
        <v>4963.0</v>
      </c>
      <c r="M333" s="3">
        <v>5278.2158203125</v>
      </c>
    </row>
    <row r="334" ht="12.0" customHeight="1">
      <c r="A334" s="6">
        <v>1972.0</v>
      </c>
      <c r="B334" s="3">
        <v>284.3</v>
      </c>
      <c r="C334" s="6">
        <f t="shared" si="1"/>
        <v>1233.791936</v>
      </c>
      <c r="D334" s="3">
        <v>0.24664</v>
      </c>
      <c r="E334" s="6">
        <v>209063.0</v>
      </c>
      <c r="F334" s="6">
        <v>0.0</v>
      </c>
      <c r="G334" s="6">
        <v>5.8</v>
      </c>
      <c r="H334" s="7">
        <v>0.0</v>
      </c>
      <c r="I334" s="3">
        <v>5002.4</v>
      </c>
      <c r="J334" s="3">
        <v>213.1</v>
      </c>
      <c r="K334" s="3">
        <v>4892.873</v>
      </c>
      <c r="L334" s="8">
        <v>5002.0</v>
      </c>
      <c r="M334" s="3">
        <v>5334.51904296875</v>
      </c>
    </row>
    <row r="335" ht="12.0" customHeight="1">
      <c r="A335" s="6">
        <v>1972.25</v>
      </c>
      <c r="B335" s="3">
        <v>289.0</v>
      </c>
      <c r="C335" s="6">
        <f t="shared" si="1"/>
        <v>1270.106145</v>
      </c>
      <c r="D335" s="3">
        <v>0.24815</v>
      </c>
      <c r="E335" s="6">
        <v>209552.0</v>
      </c>
      <c r="F335" s="6">
        <v>0.0</v>
      </c>
      <c r="G335" s="6">
        <v>5.7</v>
      </c>
      <c r="H335" s="7">
        <v>0.0</v>
      </c>
      <c r="I335" s="3">
        <v>5118.3</v>
      </c>
      <c r="J335" s="3">
        <v>216.5</v>
      </c>
      <c r="K335" s="3">
        <v>4935.892</v>
      </c>
      <c r="L335" s="8">
        <v>5041.0</v>
      </c>
      <c r="M335" s="3">
        <v>5391.41748046875</v>
      </c>
    </row>
    <row r="336" ht="12.0" customHeight="1">
      <c r="A336" s="6">
        <v>1972.5</v>
      </c>
      <c r="B336" s="3">
        <v>286.3</v>
      </c>
      <c r="C336" s="6">
        <f t="shared" si="1"/>
        <v>1293.829392</v>
      </c>
      <c r="D336" s="3">
        <v>0.25048</v>
      </c>
      <c r="E336" s="6">
        <v>210083.0</v>
      </c>
      <c r="F336" s="6">
        <v>0.0</v>
      </c>
      <c r="G336" s="6">
        <v>5.6</v>
      </c>
      <c r="H336" s="7">
        <v>0.0</v>
      </c>
      <c r="I336" s="3">
        <v>5165.4</v>
      </c>
      <c r="J336" s="3">
        <v>219.4</v>
      </c>
      <c r="K336" s="3">
        <v>4979.247</v>
      </c>
      <c r="L336" s="8">
        <v>5081.0</v>
      </c>
      <c r="M336" s="3">
        <v>5448.92822265625</v>
      </c>
    </row>
    <row r="337" ht="12.0" customHeight="1">
      <c r="A337" s="6">
        <v>1972.75</v>
      </c>
      <c r="B337" s="3">
        <v>293.5</v>
      </c>
      <c r="C337" s="6">
        <f t="shared" si="1"/>
        <v>1332.019392</v>
      </c>
      <c r="D337" s="3">
        <v>0.25366</v>
      </c>
      <c r="E337" s="6">
        <v>210652.0</v>
      </c>
      <c r="F337" s="6">
        <v>0.0</v>
      </c>
      <c r="G337" s="6">
        <v>5.4</v>
      </c>
      <c r="H337" s="7">
        <v>0.0</v>
      </c>
      <c r="I337" s="3">
        <v>5251.2</v>
      </c>
      <c r="J337" s="3">
        <v>227.1</v>
      </c>
      <c r="K337" s="3">
        <v>5022.92</v>
      </c>
      <c r="L337" s="8">
        <v>5122.0</v>
      </c>
      <c r="M337" s="3">
        <v>5507.05224609375</v>
      </c>
    </row>
    <row r="338" ht="12.0" customHeight="1">
      <c r="A338" s="6">
        <v>1973.0</v>
      </c>
      <c r="B338" s="3">
        <v>301.3</v>
      </c>
      <c r="C338" s="6">
        <f t="shared" si="1"/>
        <v>1380.690105</v>
      </c>
      <c r="D338" s="3">
        <v>0.25661</v>
      </c>
      <c r="E338" s="6">
        <v>211120.0</v>
      </c>
      <c r="F338" s="6">
        <v>0.0</v>
      </c>
      <c r="G338" s="6">
        <v>4.9</v>
      </c>
      <c r="H338" s="7">
        <v>0.0</v>
      </c>
      <c r="I338" s="3">
        <v>5380.5</v>
      </c>
      <c r="J338" s="3">
        <v>242.5</v>
      </c>
      <c r="K338" s="3">
        <v>5066.913</v>
      </c>
      <c r="L338" s="8">
        <v>5165.0</v>
      </c>
      <c r="M338" s="3">
        <v>5563.466796875</v>
      </c>
    </row>
    <row r="339" ht="12.0" customHeight="1">
      <c r="A339" s="6">
        <v>1973.25</v>
      </c>
      <c r="B339" s="3">
        <v>304.9</v>
      </c>
      <c r="C339" s="6">
        <f t="shared" si="1"/>
        <v>1417.61958</v>
      </c>
      <c r="D339" s="3">
        <v>0.26052</v>
      </c>
      <c r="E339" s="6">
        <v>211581.0</v>
      </c>
      <c r="F339" s="6">
        <v>0.0</v>
      </c>
      <c r="G339" s="6">
        <v>4.9</v>
      </c>
      <c r="H339" s="7">
        <v>0.0</v>
      </c>
      <c r="I339" s="3">
        <v>5441.5</v>
      </c>
      <c r="J339" s="3">
        <v>246.5</v>
      </c>
      <c r="K339" s="3">
        <v>5111.243</v>
      </c>
      <c r="L339" s="8">
        <v>5209.0</v>
      </c>
      <c r="M339" s="3">
        <v>5620.458984375</v>
      </c>
    </row>
    <row r="340" ht="12.0" customHeight="1">
      <c r="A340" s="6">
        <v>1973.5</v>
      </c>
      <c r="B340" s="3">
        <v>305.6</v>
      </c>
      <c r="C340" s="6">
        <f t="shared" si="1"/>
        <v>1436.805331</v>
      </c>
      <c r="D340" s="3">
        <v>0.26549</v>
      </c>
      <c r="E340" s="6">
        <v>212097.0</v>
      </c>
      <c r="F340" s="6">
        <v>0.0</v>
      </c>
      <c r="G340" s="6">
        <v>4.8</v>
      </c>
      <c r="H340" s="7">
        <v>-5.0</v>
      </c>
      <c r="I340" s="3">
        <v>5411.9</v>
      </c>
      <c r="J340" s="3">
        <v>249.6</v>
      </c>
      <c r="K340" s="3">
        <v>5155.907</v>
      </c>
      <c r="L340" s="8">
        <v>5255.0</v>
      </c>
      <c r="M340" s="3">
        <v>5678.03515625</v>
      </c>
    </row>
    <row r="341" ht="12.0" customHeight="1">
      <c r="A341" s="6">
        <v>1973.75</v>
      </c>
      <c r="B341" s="3">
        <v>313.7</v>
      </c>
      <c r="C341" s="6">
        <f t="shared" si="1"/>
        <v>1479.054048</v>
      </c>
      <c r="D341" s="3">
        <v>0.27077</v>
      </c>
      <c r="E341" s="6">
        <v>212631.0</v>
      </c>
      <c r="F341" s="6">
        <v>1.0</v>
      </c>
      <c r="G341" s="6">
        <v>4.8</v>
      </c>
      <c r="H341" s="7">
        <v>5.0</v>
      </c>
      <c r="I341" s="3">
        <v>5462.4</v>
      </c>
      <c r="J341" s="3">
        <v>258.4</v>
      </c>
      <c r="K341" s="3">
        <v>5200.892</v>
      </c>
      <c r="L341" s="8">
        <v>5302.0</v>
      </c>
      <c r="M341" s="3">
        <v>5736.201171875</v>
      </c>
    </row>
    <row r="342" ht="12.0" customHeight="1">
      <c r="A342" s="6">
        <v>1974.0</v>
      </c>
      <c r="B342" s="3">
        <v>326.1</v>
      </c>
      <c r="C342" s="6">
        <f t="shared" si="1"/>
        <v>1494.65864</v>
      </c>
      <c r="D342" s="3">
        <v>0.27592</v>
      </c>
      <c r="E342" s="6">
        <v>213072.0</v>
      </c>
      <c r="F342" s="6">
        <v>1.0</v>
      </c>
      <c r="G342" s="6">
        <v>5.1</v>
      </c>
      <c r="H342" s="7">
        <v>0.0</v>
      </c>
      <c r="I342" s="3">
        <v>5417.0</v>
      </c>
      <c r="J342" s="3">
        <v>265.9</v>
      </c>
      <c r="K342" s="3">
        <v>5246.213</v>
      </c>
      <c r="L342" s="8">
        <v>5351.0</v>
      </c>
      <c r="M342" s="3">
        <v>5791.45458984375</v>
      </c>
    </row>
    <row r="343" ht="12.0" customHeight="1">
      <c r="A343" s="6">
        <v>1974.25</v>
      </c>
      <c r="B343" s="3">
        <v>337.3</v>
      </c>
      <c r="C343" s="6">
        <f t="shared" si="1"/>
        <v>1534.233624</v>
      </c>
      <c r="D343" s="3">
        <v>0.28248</v>
      </c>
      <c r="E343" s="6">
        <v>213520.0</v>
      </c>
      <c r="F343" s="6">
        <v>1.0</v>
      </c>
      <c r="G343" s="6">
        <v>5.2</v>
      </c>
      <c r="H343" s="7">
        <v>0.0</v>
      </c>
      <c r="I343" s="3">
        <v>5431.3</v>
      </c>
      <c r="J343" s="3">
        <v>276.4</v>
      </c>
      <c r="K343" s="3">
        <v>5291.87</v>
      </c>
      <c r="L343" s="8">
        <v>5400.0</v>
      </c>
      <c r="M343" s="3">
        <v>5847.24072265625</v>
      </c>
    </row>
    <row r="344" ht="12.0" customHeight="1">
      <c r="A344" s="6">
        <v>1974.5</v>
      </c>
      <c r="B344" s="3">
        <v>348.3</v>
      </c>
      <c r="C344" s="6">
        <f t="shared" si="1"/>
        <v>1563.426729</v>
      </c>
      <c r="D344" s="3">
        <v>0.29067</v>
      </c>
      <c r="E344" s="6">
        <v>214047.0</v>
      </c>
      <c r="F344" s="6">
        <v>1.0</v>
      </c>
      <c r="G344" s="6">
        <v>5.6</v>
      </c>
      <c r="H344" s="7">
        <v>0.0</v>
      </c>
      <c r="I344" s="3">
        <v>5378.7</v>
      </c>
      <c r="J344" s="3">
        <v>287.5</v>
      </c>
      <c r="K344" s="3">
        <v>5337.868</v>
      </c>
      <c r="L344" s="8">
        <v>5451.0</v>
      </c>
      <c r="M344" s="3">
        <v>5903.5693359375</v>
      </c>
    </row>
    <row r="345" ht="12.0" customHeight="1">
      <c r="A345" s="6">
        <v>1974.75</v>
      </c>
      <c r="B345" s="3">
        <v>360.8</v>
      </c>
      <c r="C345" s="6">
        <f t="shared" si="1"/>
        <v>1603.034956</v>
      </c>
      <c r="D345" s="3">
        <v>0.29923</v>
      </c>
      <c r="E345" s="6">
        <v>214619.0</v>
      </c>
      <c r="F345" s="6">
        <v>1.0</v>
      </c>
      <c r="G345" s="6">
        <v>6.6</v>
      </c>
      <c r="H345" s="7">
        <v>0.0</v>
      </c>
      <c r="I345" s="3">
        <v>5357.2</v>
      </c>
      <c r="J345" s="3">
        <v>284.2</v>
      </c>
      <c r="K345" s="3">
        <v>5384.198</v>
      </c>
      <c r="L345" s="8">
        <v>5501.0</v>
      </c>
      <c r="M345" s="3">
        <v>5960.43505859375</v>
      </c>
    </row>
    <row r="346" ht="12.0" customHeight="1">
      <c r="A346" s="6">
        <v>1975.0</v>
      </c>
      <c r="B346" s="3">
        <v>371.7</v>
      </c>
      <c r="C346" s="6">
        <f t="shared" si="1"/>
        <v>1619.527324</v>
      </c>
      <c r="D346" s="3">
        <v>0.30601</v>
      </c>
      <c r="E346" s="6">
        <v>215065.0</v>
      </c>
      <c r="F346" s="6">
        <v>1.0</v>
      </c>
      <c r="G346" s="6">
        <v>8.3</v>
      </c>
      <c r="H346" s="7">
        <v>0.0</v>
      </c>
      <c r="I346" s="3">
        <v>5292.4</v>
      </c>
      <c r="J346" s="3">
        <v>277.8</v>
      </c>
      <c r="K346" s="3">
        <v>5430.859</v>
      </c>
      <c r="L346" s="8">
        <v>5551.0</v>
      </c>
      <c r="M346" s="3">
        <v>6013.87841796875</v>
      </c>
    </row>
    <row r="347" ht="12.0" customHeight="1">
      <c r="A347" s="6">
        <v>1975.25</v>
      </c>
      <c r="B347" s="3">
        <v>375.8</v>
      </c>
      <c r="C347" s="6">
        <f t="shared" si="1"/>
        <v>1656.438588</v>
      </c>
      <c r="D347" s="3">
        <v>0.31059</v>
      </c>
      <c r="E347" s="6">
        <v>215548.0</v>
      </c>
      <c r="F347" s="6">
        <v>0.0</v>
      </c>
      <c r="G347" s="6">
        <v>8.9</v>
      </c>
      <c r="H347" s="7">
        <v>0.0</v>
      </c>
      <c r="I347" s="3">
        <v>5333.2</v>
      </c>
      <c r="J347" s="3">
        <v>244.8</v>
      </c>
      <c r="K347" s="3">
        <v>5477.882</v>
      </c>
      <c r="L347" s="8">
        <v>5599.0</v>
      </c>
      <c r="M347" s="3">
        <v>6067.794921875</v>
      </c>
    </row>
    <row r="348" ht="12.0" customHeight="1">
      <c r="A348" s="6">
        <v>1975.5</v>
      </c>
      <c r="B348" s="3">
        <v>387.0</v>
      </c>
      <c r="C348" s="6">
        <f t="shared" si="1"/>
        <v>1713.812968</v>
      </c>
      <c r="D348" s="3">
        <v>0.31612</v>
      </c>
      <c r="E348" s="6">
        <v>216187.0</v>
      </c>
      <c r="F348" s="6">
        <v>0.0</v>
      </c>
      <c r="G348" s="6">
        <v>8.5</v>
      </c>
      <c r="H348" s="7">
        <v>0.0</v>
      </c>
      <c r="I348" s="3">
        <v>5421.4</v>
      </c>
      <c r="J348" s="3">
        <v>288.2</v>
      </c>
      <c r="K348" s="3">
        <v>5525.244</v>
      </c>
      <c r="L348" s="8">
        <v>5647.0</v>
      </c>
      <c r="M348" s="3">
        <v>6122.201171875</v>
      </c>
    </row>
    <row r="349" ht="12.0" customHeight="1">
      <c r="A349" s="6">
        <v>1975.75</v>
      </c>
      <c r="B349" s="3">
        <v>397.3</v>
      </c>
      <c r="C349" s="6">
        <f t="shared" si="1"/>
        <v>1765.845216</v>
      </c>
      <c r="D349" s="3">
        <v>0.32139</v>
      </c>
      <c r="E349" s="6">
        <v>216763.0</v>
      </c>
      <c r="F349" s="6">
        <v>0.0</v>
      </c>
      <c r="G349" s="6">
        <v>8.3</v>
      </c>
      <c r="H349" s="7">
        <v>0.0</v>
      </c>
      <c r="I349" s="3">
        <v>5494.4</v>
      </c>
      <c r="J349" s="3">
        <v>296.5</v>
      </c>
      <c r="K349" s="3">
        <v>5572.951</v>
      </c>
      <c r="L349" s="8">
        <v>5694.0</v>
      </c>
      <c r="M349" s="3">
        <v>6177.0947265625</v>
      </c>
    </row>
    <row r="350" ht="12.0" customHeight="1">
      <c r="A350" s="6">
        <v>1976.0</v>
      </c>
      <c r="B350" s="3">
        <v>402.9</v>
      </c>
      <c r="C350" s="6">
        <f t="shared" si="1"/>
        <v>1824.495505</v>
      </c>
      <c r="D350" s="3">
        <v>0.32473</v>
      </c>
      <c r="E350" s="6">
        <v>217242.0</v>
      </c>
      <c r="F350" s="6">
        <v>0.0</v>
      </c>
      <c r="G350" s="6">
        <v>7.7</v>
      </c>
      <c r="H350" s="7">
        <v>4.0</v>
      </c>
      <c r="I350" s="3">
        <v>5618.5</v>
      </c>
      <c r="J350" s="3">
        <v>312.1</v>
      </c>
      <c r="K350" s="3">
        <v>5620.984</v>
      </c>
      <c r="L350" s="8">
        <v>5740.0</v>
      </c>
      <c r="M350" s="3">
        <v>6231.3515625</v>
      </c>
    </row>
    <row r="351" ht="12.0" customHeight="1">
      <c r="A351" s="6">
        <v>1976.25</v>
      </c>
      <c r="B351" s="3">
        <v>403.2</v>
      </c>
      <c r="C351" s="6">
        <f t="shared" si="1"/>
        <v>1856.97783</v>
      </c>
      <c r="D351" s="3">
        <v>0.32803</v>
      </c>
      <c r="E351" s="6">
        <v>217691.0</v>
      </c>
      <c r="F351" s="6">
        <v>0.0</v>
      </c>
      <c r="G351" s="6">
        <v>7.6</v>
      </c>
      <c r="H351" s="7">
        <v>0.0</v>
      </c>
      <c r="I351" s="3">
        <v>5661.0</v>
      </c>
      <c r="J351" s="3">
        <v>319.0</v>
      </c>
      <c r="K351" s="3">
        <v>5669.394</v>
      </c>
      <c r="L351" s="8">
        <v>5786.0</v>
      </c>
      <c r="M351" s="3">
        <v>6286.0791015625</v>
      </c>
    </row>
    <row r="352" ht="12.0" customHeight="1">
      <c r="A352" s="6">
        <v>1976.5</v>
      </c>
      <c r="B352" s="3">
        <v>404.9</v>
      </c>
      <c r="C352" s="6">
        <f t="shared" si="1"/>
        <v>1890.492948</v>
      </c>
      <c r="D352" s="3">
        <v>0.33226</v>
      </c>
      <c r="E352" s="6">
        <v>218236.0</v>
      </c>
      <c r="F352" s="6">
        <v>0.0</v>
      </c>
      <c r="G352" s="6">
        <v>7.7</v>
      </c>
      <c r="H352" s="7">
        <v>0.0</v>
      </c>
      <c r="I352" s="3">
        <v>5689.8</v>
      </c>
      <c r="J352" s="3">
        <v>326.7</v>
      </c>
      <c r="K352" s="3">
        <v>5718.139</v>
      </c>
      <c r="L352" s="8">
        <v>5832.0</v>
      </c>
      <c r="M352" s="3">
        <v>6341.287109375</v>
      </c>
    </row>
    <row r="353" ht="12.0" customHeight="1">
      <c r="A353" s="6">
        <v>1976.75</v>
      </c>
      <c r="B353" s="3">
        <v>412.3</v>
      </c>
      <c r="C353" s="6">
        <f t="shared" si="1"/>
        <v>1938.444875</v>
      </c>
      <c r="D353" s="3">
        <v>0.33815</v>
      </c>
      <c r="E353" s="6">
        <v>218828.0</v>
      </c>
      <c r="F353" s="6">
        <v>0.0</v>
      </c>
      <c r="G353" s="6">
        <v>7.8</v>
      </c>
      <c r="H353" s="7">
        <v>0.0</v>
      </c>
      <c r="I353" s="3">
        <v>5732.5</v>
      </c>
      <c r="J353" s="3">
        <v>332.6</v>
      </c>
      <c r="K353" s="3">
        <v>5767.237</v>
      </c>
      <c r="L353" s="8">
        <v>5880.0</v>
      </c>
      <c r="M353" s="3">
        <v>6396.98583984375</v>
      </c>
    </row>
    <row r="354" ht="12.0" customHeight="1">
      <c r="A354" s="6">
        <v>1977.0</v>
      </c>
      <c r="B354" s="3">
        <v>422.7</v>
      </c>
      <c r="C354" s="6">
        <f t="shared" si="1"/>
        <v>1992.547128</v>
      </c>
      <c r="D354" s="3">
        <v>0.34359</v>
      </c>
      <c r="E354" s="6">
        <v>219342.0</v>
      </c>
      <c r="F354" s="6">
        <v>0.0</v>
      </c>
      <c r="G354" s="6">
        <v>7.5</v>
      </c>
      <c r="H354" s="7">
        <v>0.0</v>
      </c>
      <c r="I354" s="3">
        <v>5799.2</v>
      </c>
      <c r="J354" s="3">
        <v>347.3</v>
      </c>
      <c r="K354" s="3">
        <v>5816.684</v>
      </c>
      <c r="L354" s="8">
        <v>5929.0</v>
      </c>
      <c r="M354" s="3">
        <v>6449.17529296875</v>
      </c>
    </row>
    <row r="355" ht="12.0" customHeight="1">
      <c r="A355" s="6">
        <v>1977.25</v>
      </c>
      <c r="B355" s="3">
        <v>433.1</v>
      </c>
      <c r="C355" s="6">
        <f t="shared" si="1"/>
        <v>2060.14833</v>
      </c>
      <c r="D355" s="3">
        <v>0.34841</v>
      </c>
      <c r="E355" s="6">
        <v>219863.0</v>
      </c>
      <c r="F355" s="6">
        <v>0.0</v>
      </c>
      <c r="G355" s="6">
        <v>7.1</v>
      </c>
      <c r="H355" s="7">
        <v>0.0</v>
      </c>
      <c r="I355" s="3">
        <v>5913.0</v>
      </c>
      <c r="J355" s="3">
        <v>361.3</v>
      </c>
      <c r="K355" s="3">
        <v>5866.488</v>
      </c>
      <c r="L355" s="8">
        <v>5979.0</v>
      </c>
      <c r="M355" s="3">
        <v>6501.7841796875</v>
      </c>
    </row>
    <row r="356" ht="12.0" customHeight="1">
      <c r="A356" s="6">
        <v>1977.5</v>
      </c>
      <c r="B356" s="3">
        <v>439.1</v>
      </c>
      <c r="C356" s="6">
        <f t="shared" si="1"/>
        <v>2122.40752</v>
      </c>
      <c r="D356" s="3">
        <v>0.3527</v>
      </c>
      <c r="E356" s="6">
        <v>220462.0</v>
      </c>
      <c r="F356" s="6">
        <v>0.0</v>
      </c>
      <c r="G356" s="6">
        <v>6.9</v>
      </c>
      <c r="H356" s="7">
        <v>-5.0</v>
      </c>
      <c r="I356" s="3">
        <v>6017.6</v>
      </c>
      <c r="J356" s="3">
        <v>367.9</v>
      </c>
      <c r="K356" s="3">
        <v>5916.663</v>
      </c>
      <c r="L356" s="8">
        <v>6031.0</v>
      </c>
      <c r="M356" s="3">
        <v>6554.82177734375</v>
      </c>
    </row>
    <row r="357" ht="12.0" customHeight="1">
      <c r="A357" s="6">
        <v>1977.75</v>
      </c>
      <c r="B357" s="3">
        <v>448.1</v>
      </c>
      <c r="C357" s="6">
        <f t="shared" si="1"/>
        <v>2168.718552</v>
      </c>
      <c r="D357" s="3">
        <v>0.36036</v>
      </c>
      <c r="E357" s="6">
        <v>221105.0</v>
      </c>
      <c r="F357" s="6">
        <v>0.0</v>
      </c>
      <c r="G357" s="6">
        <v>6.7</v>
      </c>
      <c r="H357" s="7">
        <v>0.0</v>
      </c>
      <c r="I357" s="3">
        <v>6018.2</v>
      </c>
      <c r="J357" s="3">
        <v>379.0</v>
      </c>
      <c r="K357" s="3">
        <v>5967.181</v>
      </c>
      <c r="L357" s="8">
        <v>6084.0</v>
      </c>
      <c r="M357" s="3">
        <v>6608.298828125</v>
      </c>
    </row>
    <row r="358" ht="12.0" customHeight="1">
      <c r="A358" s="6">
        <v>1978.0</v>
      </c>
      <c r="B358" s="3">
        <v>454.8</v>
      </c>
      <c r="C358" s="6">
        <f t="shared" si="1"/>
        <v>2208.716616</v>
      </c>
      <c r="D358" s="3">
        <v>0.36573</v>
      </c>
      <c r="E358" s="6">
        <v>221633.0</v>
      </c>
      <c r="F358" s="6">
        <v>0.0</v>
      </c>
      <c r="G358" s="6">
        <v>6.3</v>
      </c>
      <c r="H358" s="7">
        <v>0.0</v>
      </c>
      <c r="I358" s="3">
        <v>6039.2</v>
      </c>
      <c r="J358" s="3">
        <v>389.0</v>
      </c>
      <c r="K358" s="3">
        <v>6018.055</v>
      </c>
      <c r="L358" s="8">
        <v>6138.0</v>
      </c>
      <c r="M358" s="3">
        <v>6657.47412109375</v>
      </c>
    </row>
    <row r="359" ht="12.0" customHeight="1">
      <c r="A359" s="6">
        <v>1978.25</v>
      </c>
      <c r="B359" s="3">
        <v>473.3</v>
      </c>
      <c r="C359" s="6">
        <f t="shared" si="1"/>
        <v>2336.56308</v>
      </c>
      <c r="D359" s="3">
        <v>0.37242</v>
      </c>
      <c r="E359" s="6">
        <v>222182.0</v>
      </c>
      <c r="F359" s="6">
        <v>0.0</v>
      </c>
      <c r="G359" s="6">
        <v>6.0</v>
      </c>
      <c r="H359" s="7">
        <v>0.0</v>
      </c>
      <c r="I359" s="3">
        <v>6274.0</v>
      </c>
      <c r="J359" s="3">
        <v>417.4</v>
      </c>
      <c r="K359" s="3">
        <v>6069.3</v>
      </c>
      <c r="L359" s="8">
        <v>6196.0</v>
      </c>
      <c r="M359" s="3">
        <v>6707.0087890625</v>
      </c>
    </row>
    <row r="360" ht="12.0" customHeight="1">
      <c r="A360" s="6">
        <v>1978.5</v>
      </c>
      <c r="B360" s="3">
        <v>484.0</v>
      </c>
      <c r="C360" s="6">
        <f t="shared" si="1"/>
        <v>2398.861345</v>
      </c>
      <c r="D360" s="3">
        <v>0.37865</v>
      </c>
      <c r="E360" s="6">
        <v>222814.0</v>
      </c>
      <c r="F360" s="6">
        <v>0.0</v>
      </c>
      <c r="G360" s="6">
        <v>6.0</v>
      </c>
      <c r="H360" s="7">
        <v>0.0</v>
      </c>
      <c r="I360" s="3">
        <v>6335.3</v>
      </c>
      <c r="J360" s="3">
        <v>435.4</v>
      </c>
      <c r="K360" s="3">
        <v>6120.911</v>
      </c>
      <c r="L360" s="8">
        <v>6254.0</v>
      </c>
      <c r="M360" s="3">
        <v>6756.91162109375</v>
      </c>
    </row>
    <row r="361" ht="12.0" customHeight="1">
      <c r="A361" s="6">
        <v>1978.75</v>
      </c>
      <c r="B361" s="3">
        <v>497.4</v>
      </c>
      <c r="C361" s="6">
        <f t="shared" si="1"/>
        <v>2482.152183</v>
      </c>
      <c r="D361" s="3">
        <v>0.38661</v>
      </c>
      <c r="E361" s="6">
        <v>223473.0</v>
      </c>
      <c r="F361" s="6">
        <v>0.0</v>
      </c>
      <c r="G361" s="6">
        <v>5.9</v>
      </c>
      <c r="H361" s="7">
        <v>0.0</v>
      </c>
      <c r="I361" s="3">
        <v>6420.3</v>
      </c>
      <c r="J361" s="3">
        <v>453.5</v>
      </c>
      <c r="K361" s="3">
        <v>6172.873</v>
      </c>
      <c r="L361" s="8">
        <v>6312.0</v>
      </c>
      <c r="M361" s="3">
        <v>6807.19287109375</v>
      </c>
    </row>
    <row r="362" ht="12.0" customHeight="1">
      <c r="A362" s="6">
        <v>1979.0</v>
      </c>
      <c r="B362" s="3">
        <v>502.9</v>
      </c>
      <c r="C362" s="6">
        <f t="shared" si="1"/>
        <v>2531.51416</v>
      </c>
      <c r="D362" s="3">
        <v>0.39352</v>
      </c>
      <c r="E362" s="6">
        <v>224051.0</v>
      </c>
      <c r="F362" s="6">
        <v>0.0</v>
      </c>
      <c r="G362" s="6">
        <v>5.9</v>
      </c>
      <c r="H362" s="7">
        <v>11.0</v>
      </c>
      <c r="I362" s="3">
        <v>6433.0</v>
      </c>
      <c r="J362" s="3">
        <v>469.6</v>
      </c>
      <c r="K362" s="3">
        <v>6225.198</v>
      </c>
      <c r="L362" s="8">
        <v>6368.0</v>
      </c>
      <c r="M362" s="3">
        <v>6855.13427734375</v>
      </c>
    </row>
    <row r="363" ht="12.0" customHeight="1">
      <c r="A363" s="6">
        <v>1979.25</v>
      </c>
      <c r="B363" s="3">
        <v>517.3</v>
      </c>
      <c r="C363" s="6">
        <f t="shared" si="1"/>
        <v>2595.900032</v>
      </c>
      <c r="D363" s="3">
        <v>0.40304</v>
      </c>
      <c r="E363" s="6">
        <v>224638.0</v>
      </c>
      <c r="F363" s="6">
        <v>0.0</v>
      </c>
      <c r="G363" s="6">
        <v>5.7</v>
      </c>
      <c r="H363" s="7">
        <v>0.0</v>
      </c>
      <c r="I363" s="3">
        <v>6440.8</v>
      </c>
      <c r="J363" s="3">
        <v>480.9</v>
      </c>
      <c r="K363" s="3">
        <v>6277.901</v>
      </c>
      <c r="L363" s="8">
        <v>6422.0</v>
      </c>
      <c r="M363" s="3">
        <v>6903.41357421875</v>
      </c>
    </row>
    <row r="364" ht="12.0" customHeight="1">
      <c r="A364" s="6">
        <v>1979.5</v>
      </c>
      <c r="B364" s="3">
        <v>531.8</v>
      </c>
      <c r="C364" s="6">
        <f t="shared" si="1"/>
        <v>2670.414715</v>
      </c>
      <c r="D364" s="3">
        <v>0.41165</v>
      </c>
      <c r="E364" s="6">
        <v>225299.0</v>
      </c>
      <c r="F364" s="6">
        <v>0.0</v>
      </c>
      <c r="G364" s="6">
        <v>5.9</v>
      </c>
      <c r="H364" s="7">
        <v>0.0</v>
      </c>
      <c r="I364" s="3">
        <v>6487.1</v>
      </c>
      <c r="J364" s="3">
        <v>493.6</v>
      </c>
      <c r="K364" s="3">
        <v>6330.979</v>
      </c>
      <c r="L364" s="8">
        <v>6473.0</v>
      </c>
      <c r="M364" s="3">
        <v>6952.0390625</v>
      </c>
    </row>
    <row r="365" ht="12.0" customHeight="1">
      <c r="A365" s="6">
        <v>1979.75</v>
      </c>
      <c r="B365" s="3">
        <v>550.2</v>
      </c>
      <c r="C365" s="6">
        <f t="shared" si="1"/>
        <v>2730.727454</v>
      </c>
      <c r="D365" s="3">
        <v>0.41986</v>
      </c>
      <c r="E365" s="6">
        <v>226024.0</v>
      </c>
      <c r="F365" s="6">
        <v>0.0</v>
      </c>
      <c r="G365" s="6">
        <v>6.0</v>
      </c>
      <c r="H365" s="7">
        <v>0.0</v>
      </c>
      <c r="I365" s="3">
        <v>6503.9</v>
      </c>
      <c r="J365" s="3">
        <v>504.0</v>
      </c>
      <c r="K365" s="3">
        <v>6384.413</v>
      </c>
      <c r="L365" s="8">
        <v>6520.0</v>
      </c>
      <c r="M365" s="3">
        <v>7001.0009765625</v>
      </c>
    </row>
    <row r="366" ht="12.0" customHeight="1">
      <c r="A366" s="6">
        <v>1980.0</v>
      </c>
      <c r="B366" s="3">
        <v>571.2</v>
      </c>
      <c r="C366" s="6">
        <f t="shared" si="1"/>
        <v>2796.506891</v>
      </c>
      <c r="D366" s="3">
        <v>0.42859</v>
      </c>
      <c r="E366" s="6">
        <v>226652.0</v>
      </c>
      <c r="F366" s="6">
        <v>1.0</v>
      </c>
      <c r="G366" s="6">
        <v>6.3</v>
      </c>
      <c r="H366" s="7">
        <v>169.1</v>
      </c>
      <c r="I366" s="3">
        <v>6524.9</v>
      </c>
      <c r="J366" s="3">
        <v>518.9</v>
      </c>
      <c r="K366" s="3">
        <v>6438.23</v>
      </c>
      <c r="L366" s="8">
        <v>6562.0</v>
      </c>
      <c r="M366" s="3">
        <v>7045.1455078125</v>
      </c>
    </row>
    <row r="367" ht="12.0" customHeight="1">
      <c r="A367" s="6">
        <v>1980.25</v>
      </c>
      <c r="B367" s="3">
        <v>586.9</v>
      </c>
      <c r="C367" s="6">
        <f t="shared" si="1"/>
        <v>2799.9588</v>
      </c>
      <c r="D367" s="3">
        <v>0.438</v>
      </c>
      <c r="E367" s="6">
        <v>227278.0</v>
      </c>
      <c r="F367" s="6">
        <v>1.0</v>
      </c>
      <c r="G367" s="6">
        <v>7.3</v>
      </c>
      <c r="H367" s="7">
        <v>0.0</v>
      </c>
      <c r="I367" s="3">
        <v>6392.6</v>
      </c>
      <c r="J367" s="3">
        <v>515.8</v>
      </c>
      <c r="K367" s="3">
        <v>6492.403</v>
      </c>
      <c r="L367" s="8">
        <v>6597.0</v>
      </c>
      <c r="M367" s="3">
        <v>7089.568359375</v>
      </c>
    </row>
    <row r="368" ht="12.0" customHeight="1">
      <c r="A368" s="6">
        <v>1980.5</v>
      </c>
      <c r="B368" s="3">
        <v>591.8</v>
      </c>
      <c r="C368" s="6">
        <f t="shared" si="1"/>
        <v>2860.049832</v>
      </c>
      <c r="D368" s="3">
        <v>0.44808</v>
      </c>
      <c r="E368" s="6">
        <v>227955.0</v>
      </c>
      <c r="F368" s="6">
        <v>1.0</v>
      </c>
      <c r="G368" s="6">
        <v>7.7</v>
      </c>
      <c r="H368" s="7">
        <v>0.0</v>
      </c>
      <c r="I368" s="3">
        <v>6382.9</v>
      </c>
      <c r="J368" s="3">
        <v>535.5</v>
      </c>
      <c r="K368" s="3">
        <v>6546.957</v>
      </c>
      <c r="L368" s="8">
        <v>6630.0</v>
      </c>
      <c r="M368" s="3">
        <v>7134.271484375</v>
      </c>
    </row>
    <row r="369" ht="12.0" customHeight="1">
      <c r="A369" s="6">
        <v>1980.75</v>
      </c>
      <c r="B369" s="3">
        <v>613.4</v>
      </c>
      <c r="C369" s="6">
        <f t="shared" si="1"/>
        <v>2993.542552</v>
      </c>
      <c r="D369" s="3">
        <v>0.46046</v>
      </c>
      <c r="E369" s="6">
        <v>228603.0</v>
      </c>
      <c r="F369" s="6">
        <v>0.0</v>
      </c>
      <c r="G369" s="6">
        <v>7.4</v>
      </c>
      <c r="H369" s="7">
        <v>0.0</v>
      </c>
      <c r="I369" s="3">
        <v>6501.2</v>
      </c>
      <c r="J369" s="3">
        <v>564.6</v>
      </c>
      <c r="K369" s="3">
        <v>6601.886</v>
      </c>
      <c r="L369" s="8">
        <v>6662.0</v>
      </c>
      <c r="M369" s="3">
        <v>7179.25634765625</v>
      </c>
    </row>
    <row r="370" ht="12.0" customHeight="1">
      <c r="A370" s="6">
        <v>1981.0</v>
      </c>
      <c r="B370" s="3">
        <v>636.0</v>
      </c>
      <c r="C370" s="6">
        <f t="shared" si="1"/>
        <v>3131.784972</v>
      </c>
      <c r="D370" s="3">
        <v>0.47196</v>
      </c>
      <c r="E370" s="6">
        <v>229077.0</v>
      </c>
      <c r="F370" s="6">
        <v>0.0</v>
      </c>
      <c r="G370" s="6">
        <v>7.4</v>
      </c>
      <c r="H370" s="7">
        <v>74.5</v>
      </c>
      <c r="I370" s="3">
        <v>6635.7</v>
      </c>
      <c r="J370" s="3">
        <v>607.7</v>
      </c>
      <c r="K370" s="3">
        <v>6657.208</v>
      </c>
      <c r="L370" s="8">
        <v>6696.0</v>
      </c>
      <c r="M370" s="3">
        <v>7219.7998046875</v>
      </c>
    </row>
    <row r="371" ht="12.0" customHeight="1">
      <c r="A371" s="6">
        <v>1981.25</v>
      </c>
      <c r="B371" s="3">
        <v>649.0</v>
      </c>
      <c r="C371" s="6">
        <f t="shared" si="1"/>
        <v>3167.239713</v>
      </c>
      <c r="D371" s="3">
        <v>0.48081</v>
      </c>
      <c r="E371" s="6">
        <v>229580.0</v>
      </c>
      <c r="F371" s="6">
        <v>0.0</v>
      </c>
      <c r="G371" s="6">
        <v>7.4</v>
      </c>
      <c r="H371" s="7">
        <v>0.0</v>
      </c>
      <c r="I371" s="3">
        <v>6587.3</v>
      </c>
      <c r="J371" s="3">
        <v>617.5</v>
      </c>
      <c r="K371" s="3">
        <v>6712.876</v>
      </c>
      <c r="L371" s="8">
        <v>6734.0</v>
      </c>
      <c r="M371" s="3">
        <v>7260.57275390625</v>
      </c>
    </row>
    <row r="372" ht="12.0" customHeight="1">
      <c r="A372" s="6">
        <v>1981.5</v>
      </c>
      <c r="B372" s="3">
        <v>655.2</v>
      </c>
      <c r="C372" s="6">
        <f t="shared" si="1"/>
        <v>3261.223034</v>
      </c>
      <c r="D372" s="3">
        <v>0.48946</v>
      </c>
      <c r="E372" s="6">
        <v>230188.0</v>
      </c>
      <c r="F372" s="6">
        <v>1.0</v>
      </c>
      <c r="G372" s="6">
        <v>7.4</v>
      </c>
      <c r="H372" s="7">
        <v>0.0</v>
      </c>
      <c r="I372" s="3">
        <v>6662.9</v>
      </c>
      <c r="J372" s="3">
        <v>634.6</v>
      </c>
      <c r="K372" s="3">
        <v>6768.959</v>
      </c>
      <c r="L372" s="8">
        <v>6774.0</v>
      </c>
      <c r="M372" s="3">
        <v>7301.5751953125</v>
      </c>
    </row>
    <row r="373" ht="12.0" customHeight="1">
      <c r="A373" s="6">
        <v>1981.75</v>
      </c>
      <c r="B373" s="3">
        <v>678.8</v>
      </c>
      <c r="C373" s="6">
        <f t="shared" si="1"/>
        <v>3283.528413</v>
      </c>
      <c r="D373" s="3">
        <v>0.49863</v>
      </c>
      <c r="E373" s="6">
        <v>230817.0</v>
      </c>
      <c r="F373" s="6">
        <v>1.0</v>
      </c>
      <c r="G373" s="6">
        <v>8.2</v>
      </c>
      <c r="H373" s="7">
        <v>0.0</v>
      </c>
      <c r="I373" s="3">
        <v>6585.1</v>
      </c>
      <c r="J373" s="3">
        <v>624.5</v>
      </c>
      <c r="K373" s="3">
        <v>6825.388</v>
      </c>
      <c r="L373" s="8">
        <v>6818.0</v>
      </c>
      <c r="M373" s="3">
        <v>7342.81005859375</v>
      </c>
    </row>
    <row r="374" ht="12.0" customHeight="1">
      <c r="A374" s="6">
        <v>1982.0</v>
      </c>
      <c r="B374" s="3">
        <v>687.4</v>
      </c>
      <c r="C374" s="6">
        <f t="shared" si="1"/>
        <v>3273.82475</v>
      </c>
      <c r="D374" s="3">
        <v>0.50561</v>
      </c>
      <c r="E374" s="6">
        <v>231313.0</v>
      </c>
      <c r="F374" s="6">
        <v>1.0</v>
      </c>
      <c r="G374" s="6">
        <v>8.8</v>
      </c>
      <c r="H374" s="7">
        <v>0.0</v>
      </c>
      <c r="I374" s="3">
        <v>6475.0</v>
      </c>
      <c r="J374" s="3">
        <v>618.1</v>
      </c>
      <c r="K374" s="3">
        <v>6882.214</v>
      </c>
      <c r="L374" s="8">
        <v>6867.0</v>
      </c>
      <c r="M374" s="3">
        <v>7376.267578125</v>
      </c>
    </row>
    <row r="375" ht="12.0" customHeight="1">
      <c r="A375" s="6">
        <v>1982.25</v>
      </c>
      <c r="B375" s="3">
        <v>701.0</v>
      </c>
      <c r="C375" s="6">
        <f t="shared" si="1"/>
        <v>3331.26934</v>
      </c>
      <c r="D375" s="3">
        <v>0.5117</v>
      </c>
      <c r="E375" s="6">
        <v>231815.0</v>
      </c>
      <c r="F375" s="6">
        <v>1.0</v>
      </c>
      <c r="G375" s="6">
        <v>9.4</v>
      </c>
      <c r="H375" s="7">
        <v>0.0</v>
      </c>
      <c r="I375" s="3">
        <v>6510.2</v>
      </c>
      <c r="J375" s="3">
        <v>624.6</v>
      </c>
      <c r="K375" s="3">
        <v>6939.427</v>
      </c>
      <c r="L375" s="8">
        <v>6918.0</v>
      </c>
      <c r="M375" s="3">
        <v>7409.87060546875</v>
      </c>
    </row>
    <row r="376" ht="12.0" customHeight="1">
      <c r="A376" s="6">
        <v>1982.5</v>
      </c>
      <c r="B376" s="3">
        <v>714.5</v>
      </c>
      <c r="C376" s="6">
        <f t="shared" si="1"/>
        <v>3367.103276</v>
      </c>
      <c r="D376" s="3">
        <v>0.51907</v>
      </c>
      <c r="E376" s="6">
        <v>232393.0</v>
      </c>
      <c r="F376" s="6">
        <v>1.0</v>
      </c>
      <c r="G376" s="6">
        <v>9.9</v>
      </c>
      <c r="H376" s="7">
        <v>0.0</v>
      </c>
      <c r="I376" s="3">
        <v>6486.8</v>
      </c>
      <c r="J376" s="3">
        <v>614.7</v>
      </c>
      <c r="K376" s="3">
        <v>6997.043</v>
      </c>
      <c r="L376" s="8">
        <v>6970.0</v>
      </c>
      <c r="M376" s="3">
        <v>7443.6337890625</v>
      </c>
    </row>
    <row r="377" ht="12.0" customHeight="1">
      <c r="A377" s="6">
        <v>1982.75</v>
      </c>
      <c r="B377" s="3">
        <v>737.2</v>
      </c>
      <c r="C377" s="6">
        <f t="shared" si="1"/>
        <v>3407.773673</v>
      </c>
      <c r="D377" s="3">
        <v>0.52483</v>
      </c>
      <c r="E377" s="6">
        <v>232990.0</v>
      </c>
      <c r="F377" s="6">
        <v>1.0</v>
      </c>
      <c r="G377" s="6">
        <v>10.7</v>
      </c>
      <c r="H377" s="7">
        <v>0.0</v>
      </c>
      <c r="I377" s="3">
        <v>6493.1</v>
      </c>
      <c r="J377" s="3">
        <v>617.2</v>
      </c>
      <c r="K377" s="3">
        <v>7055.002</v>
      </c>
      <c r="L377" s="8">
        <v>7024.0</v>
      </c>
      <c r="M377" s="3">
        <v>7477.55078125</v>
      </c>
    </row>
    <row r="378" ht="12.0" customHeight="1">
      <c r="A378" s="6">
        <v>1983.0</v>
      </c>
      <c r="B378" s="3">
        <v>748.8</v>
      </c>
      <c r="C378" s="6">
        <f t="shared" si="1"/>
        <v>3480.328274</v>
      </c>
      <c r="D378" s="3">
        <v>0.52907</v>
      </c>
      <c r="E378" s="6">
        <v>233469.0</v>
      </c>
      <c r="F378" s="6">
        <v>0.0</v>
      </c>
      <c r="G378" s="6">
        <v>10.4</v>
      </c>
      <c r="H378" s="7">
        <v>0.0</v>
      </c>
      <c r="I378" s="3">
        <v>6578.2</v>
      </c>
      <c r="J378" s="3">
        <v>624.3</v>
      </c>
      <c r="K378" s="3">
        <v>7113.354</v>
      </c>
      <c r="L378" s="8">
        <v>7075.0</v>
      </c>
      <c r="M378" s="3">
        <v>7507.31103515625</v>
      </c>
    </row>
    <row r="379" ht="12.0" customHeight="1">
      <c r="A379" s="6">
        <v>1983.25</v>
      </c>
      <c r="B379" s="3">
        <v>761.0</v>
      </c>
      <c r="C379" s="6">
        <f t="shared" si="1"/>
        <v>3583.828995</v>
      </c>
      <c r="D379" s="3">
        <v>0.53265</v>
      </c>
      <c r="E379" s="6">
        <v>233940.0</v>
      </c>
      <c r="F379" s="6">
        <v>0.0</v>
      </c>
      <c r="G379" s="6">
        <v>10.1</v>
      </c>
      <c r="H379" s="7">
        <v>0.0</v>
      </c>
      <c r="I379" s="3">
        <v>6728.3</v>
      </c>
      <c r="J379" s="3">
        <v>649.9</v>
      </c>
      <c r="K379" s="3">
        <v>7172.098</v>
      </c>
      <c r="L379" s="8">
        <v>7126.0</v>
      </c>
      <c r="M379" s="3">
        <v>7537.18994140625</v>
      </c>
    </row>
    <row r="380" ht="12.0" customHeight="1">
      <c r="A380" s="6">
        <v>1983.5</v>
      </c>
      <c r="B380" s="3">
        <v>780.9</v>
      </c>
      <c r="C380" s="6">
        <f t="shared" si="1"/>
        <v>3692.2578</v>
      </c>
      <c r="D380" s="3">
        <v>0.53823</v>
      </c>
      <c r="E380" s="6">
        <v>234503.0</v>
      </c>
      <c r="F380" s="6">
        <v>0.0</v>
      </c>
      <c r="G380" s="6">
        <v>9.4</v>
      </c>
      <c r="H380" s="7">
        <v>0.0</v>
      </c>
      <c r="I380" s="3">
        <v>6860.0</v>
      </c>
      <c r="J380" s="3">
        <v>644.1</v>
      </c>
      <c r="K380" s="3">
        <v>7231.239</v>
      </c>
      <c r="L380" s="8">
        <v>7178.0</v>
      </c>
      <c r="M380" s="3">
        <v>7567.1875</v>
      </c>
    </row>
    <row r="381" ht="12.0" customHeight="1">
      <c r="A381" s="6">
        <v>1983.75</v>
      </c>
      <c r="B381" s="3">
        <v>772.3</v>
      </c>
      <c r="C381" s="6">
        <f t="shared" si="1"/>
        <v>3796.143285</v>
      </c>
      <c r="D381" s="3">
        <v>0.54219</v>
      </c>
      <c r="E381" s="6">
        <v>235073.0</v>
      </c>
      <c r="F381" s="6">
        <v>0.0</v>
      </c>
      <c r="G381" s="6">
        <v>8.5</v>
      </c>
      <c r="H381" s="7">
        <v>0.0</v>
      </c>
      <c r="I381" s="3">
        <v>7001.5</v>
      </c>
      <c r="J381" s="3">
        <v>660.8</v>
      </c>
      <c r="K381" s="3">
        <v>7290.776</v>
      </c>
      <c r="L381" s="8">
        <v>7231.0</v>
      </c>
      <c r="M381" s="3">
        <v>7597.30419921875</v>
      </c>
    </row>
    <row r="382" ht="12.0" customHeight="1">
      <c r="A382" s="6">
        <v>1984.0</v>
      </c>
      <c r="B382" s="3">
        <v>794.2</v>
      </c>
      <c r="C382" s="6">
        <f t="shared" si="1"/>
        <v>3912.763176</v>
      </c>
      <c r="D382" s="3">
        <v>0.54796</v>
      </c>
      <c r="E382" s="6">
        <v>235529.0</v>
      </c>
      <c r="F382" s="6">
        <v>0.0</v>
      </c>
      <c r="G382" s="6">
        <v>7.9</v>
      </c>
      <c r="H382" s="7">
        <v>0.0</v>
      </c>
      <c r="I382" s="3">
        <v>7140.6</v>
      </c>
      <c r="J382" s="3">
        <v>694.2</v>
      </c>
      <c r="K382" s="3">
        <v>7350.671</v>
      </c>
      <c r="L382" s="8">
        <v>7287.0</v>
      </c>
      <c r="M382" s="3">
        <v>7626.63232421875</v>
      </c>
    </row>
    <row r="383" ht="12.0" customHeight="1">
      <c r="A383" s="6">
        <v>1984.25</v>
      </c>
      <c r="B383" s="3">
        <v>819.2</v>
      </c>
      <c r="C383" s="6">
        <f t="shared" si="1"/>
        <v>4014.97362</v>
      </c>
      <c r="D383" s="3">
        <v>0.55257</v>
      </c>
      <c r="E383" s="6">
        <v>235997.0</v>
      </c>
      <c r="F383" s="6">
        <v>0.0</v>
      </c>
      <c r="G383" s="6">
        <v>7.4</v>
      </c>
      <c r="H383" s="7">
        <v>0.0</v>
      </c>
      <c r="I383" s="3">
        <v>7266.0</v>
      </c>
      <c r="J383" s="3">
        <v>707.2</v>
      </c>
      <c r="K383" s="3">
        <v>7410.994</v>
      </c>
      <c r="L383" s="8">
        <v>7345.0</v>
      </c>
      <c r="M383" s="3">
        <v>7656.0732421875</v>
      </c>
    </row>
    <row r="384" ht="12.0" customHeight="1">
      <c r="A384" s="6">
        <v>1984.5</v>
      </c>
      <c r="B384" s="3">
        <v>832.7</v>
      </c>
      <c r="C384" s="6">
        <f t="shared" si="1"/>
        <v>4087.354375</v>
      </c>
      <c r="D384" s="3">
        <v>0.55705</v>
      </c>
      <c r="E384" s="6">
        <v>236552.0</v>
      </c>
      <c r="F384" s="6">
        <v>0.0</v>
      </c>
      <c r="G384" s="6">
        <v>7.4</v>
      </c>
      <c r="H384" s="7">
        <v>0.0</v>
      </c>
      <c r="I384" s="3">
        <v>7337.5</v>
      </c>
      <c r="J384" s="3">
        <v>714.1</v>
      </c>
      <c r="K384" s="3">
        <v>7471.691</v>
      </c>
      <c r="L384" s="8">
        <v>7405.0</v>
      </c>
      <c r="M384" s="3">
        <v>7685.62744140625</v>
      </c>
    </row>
    <row r="385" ht="12.0" customHeight="1">
      <c r="A385" s="6">
        <v>1984.75</v>
      </c>
      <c r="B385" s="3">
        <v>854.7</v>
      </c>
      <c r="C385" s="6">
        <f t="shared" si="1"/>
        <v>4147.60284</v>
      </c>
      <c r="D385" s="3">
        <v>0.56079</v>
      </c>
      <c r="E385" s="6">
        <v>237150.0</v>
      </c>
      <c r="F385" s="6">
        <v>0.0</v>
      </c>
      <c r="G385" s="6">
        <v>7.3</v>
      </c>
      <c r="H385" s="7">
        <v>0.0</v>
      </c>
      <c r="I385" s="3">
        <v>7396.0</v>
      </c>
      <c r="J385" s="3">
        <v>729.2</v>
      </c>
      <c r="K385" s="3">
        <v>7532.771</v>
      </c>
      <c r="L385" s="8">
        <v>7467.0</v>
      </c>
      <c r="M385" s="3">
        <v>7715.29638671875</v>
      </c>
    </row>
    <row r="386" ht="12.0" customHeight="1">
      <c r="A386" s="6">
        <v>1985.0</v>
      </c>
      <c r="B386" s="3">
        <v>874.5</v>
      </c>
      <c r="C386" s="6">
        <f t="shared" si="1"/>
        <v>4236.99918</v>
      </c>
      <c r="D386" s="3">
        <v>0.56724</v>
      </c>
      <c r="E386" s="6">
        <v>237601.0</v>
      </c>
      <c r="F386" s="6">
        <v>0.0</v>
      </c>
      <c r="G386" s="6">
        <v>7.2</v>
      </c>
      <c r="H386" s="7">
        <v>0.0</v>
      </c>
      <c r="I386" s="3">
        <v>7469.5</v>
      </c>
      <c r="J386" s="3">
        <v>782.1</v>
      </c>
      <c r="K386" s="3">
        <v>7594.233</v>
      </c>
      <c r="L386" s="8">
        <v>7530.0</v>
      </c>
      <c r="M386" s="3">
        <v>7748.8623046875</v>
      </c>
    </row>
    <row r="387" ht="12.0" customHeight="1">
      <c r="A387" s="6">
        <v>1985.25</v>
      </c>
      <c r="B387" s="3">
        <v>898.5</v>
      </c>
      <c r="C387" s="6">
        <f t="shared" si="1"/>
        <v>4302.256425</v>
      </c>
      <c r="D387" s="3">
        <v>0.57075</v>
      </c>
      <c r="E387" s="6">
        <v>238081.0</v>
      </c>
      <c r="F387" s="6">
        <v>0.0</v>
      </c>
      <c r="G387" s="6">
        <v>7.3</v>
      </c>
      <c r="H387" s="7">
        <v>0.0</v>
      </c>
      <c r="I387" s="3">
        <v>7537.9</v>
      </c>
      <c r="J387" s="3">
        <v>745.8</v>
      </c>
      <c r="K387" s="3">
        <v>7656.117</v>
      </c>
      <c r="L387" s="8">
        <v>7594.0</v>
      </c>
      <c r="M387" s="3">
        <v>7782.56640625</v>
      </c>
    </row>
    <row r="388" ht="12.0" customHeight="1">
      <c r="A388" s="6">
        <v>1985.5</v>
      </c>
      <c r="B388" s="3">
        <v>924.6</v>
      </c>
      <c r="C388" s="6">
        <f t="shared" si="1"/>
        <v>4394.544112</v>
      </c>
      <c r="D388" s="3">
        <v>0.57406</v>
      </c>
      <c r="E388" s="6">
        <v>238681.0</v>
      </c>
      <c r="F388" s="6">
        <v>0.0</v>
      </c>
      <c r="G388" s="6">
        <v>7.2</v>
      </c>
      <c r="H388" s="7">
        <v>0.0</v>
      </c>
      <c r="I388" s="3">
        <v>7655.2</v>
      </c>
      <c r="J388" s="3">
        <v>783.7</v>
      </c>
      <c r="K388" s="3">
        <v>7718.38</v>
      </c>
      <c r="L388" s="8">
        <v>7659.0</v>
      </c>
      <c r="M388" s="3">
        <v>7816.41748046875</v>
      </c>
    </row>
    <row r="389" ht="12.0" customHeight="1">
      <c r="A389" s="6">
        <v>1985.75</v>
      </c>
      <c r="B389" s="3">
        <v>936.1</v>
      </c>
      <c r="C389" s="6">
        <f t="shared" si="1"/>
        <v>4453.100988</v>
      </c>
      <c r="D389" s="3">
        <v>0.57738</v>
      </c>
      <c r="E389" s="6">
        <v>239299.0</v>
      </c>
      <c r="F389" s="6">
        <v>0.0</v>
      </c>
      <c r="G389" s="6">
        <v>7.0</v>
      </c>
      <c r="H389" s="7">
        <v>0.0</v>
      </c>
      <c r="I389" s="3">
        <v>7712.6</v>
      </c>
      <c r="J389" s="3">
        <v>791.3</v>
      </c>
      <c r="K389" s="3">
        <v>7781.023</v>
      </c>
      <c r="L389" s="8">
        <v>7724.0</v>
      </c>
      <c r="M389" s="3">
        <v>7850.42333984375</v>
      </c>
    </row>
    <row r="390" ht="12.0" customHeight="1">
      <c r="A390" s="6">
        <v>1986.0</v>
      </c>
      <c r="B390" s="3">
        <v>944.2</v>
      </c>
      <c r="C390" s="6">
        <f t="shared" si="1"/>
        <v>4516.33482</v>
      </c>
      <c r="D390" s="3">
        <v>0.5802</v>
      </c>
      <c r="E390" s="6">
        <v>239785.0</v>
      </c>
      <c r="F390" s="6">
        <v>0.0</v>
      </c>
      <c r="G390" s="6">
        <v>7.0</v>
      </c>
      <c r="H390" s="7">
        <v>0.0</v>
      </c>
      <c r="I390" s="3">
        <v>7784.1</v>
      </c>
      <c r="J390" s="3">
        <v>802.2</v>
      </c>
      <c r="K390" s="3">
        <v>7844.063</v>
      </c>
      <c r="L390" s="8">
        <v>7789.0</v>
      </c>
      <c r="M390" s="3">
        <v>7885.9912109375</v>
      </c>
    </row>
    <row r="391" ht="12.0" customHeight="1">
      <c r="A391" s="6">
        <v>1986.25</v>
      </c>
      <c r="B391" s="3">
        <v>965.8</v>
      </c>
      <c r="C391" s="6">
        <f t="shared" si="1"/>
        <v>4555.189896</v>
      </c>
      <c r="D391" s="3">
        <v>0.58252</v>
      </c>
      <c r="E391" s="6">
        <v>240275.0</v>
      </c>
      <c r="F391" s="6">
        <v>0.0</v>
      </c>
      <c r="G391" s="6">
        <v>7.2</v>
      </c>
      <c r="H391" s="7">
        <v>0.0</v>
      </c>
      <c r="I391" s="3">
        <v>7819.8</v>
      </c>
      <c r="J391" s="3">
        <v>805.4</v>
      </c>
      <c r="K391" s="3">
        <v>7907.484</v>
      </c>
      <c r="L391" s="8">
        <v>7853.0</v>
      </c>
      <c r="M391" s="3">
        <v>7921.72705078125</v>
      </c>
    </row>
    <row r="392" ht="12.0" customHeight="1">
      <c r="A392" s="6">
        <v>1986.5</v>
      </c>
      <c r="B392" s="3">
        <v>993.0</v>
      </c>
      <c r="C392" s="6">
        <f t="shared" si="1"/>
        <v>4619.654182</v>
      </c>
      <c r="D392" s="3">
        <v>0.58487</v>
      </c>
      <c r="E392" s="6">
        <v>240858.0</v>
      </c>
      <c r="F392" s="6">
        <v>0.0</v>
      </c>
      <c r="G392" s="6">
        <v>7.0</v>
      </c>
      <c r="H392" s="7">
        <v>0.0</v>
      </c>
      <c r="I392" s="3">
        <v>7898.6</v>
      </c>
      <c r="J392" s="3">
        <v>819.6</v>
      </c>
      <c r="K392" s="3">
        <v>7971.351</v>
      </c>
      <c r="L392" s="8">
        <v>7918.0</v>
      </c>
      <c r="M392" s="3">
        <v>7957.62548828125</v>
      </c>
    </row>
    <row r="393" ht="12.0" customHeight="1">
      <c r="A393" s="6">
        <v>1986.75</v>
      </c>
      <c r="B393" s="3">
        <v>994.8</v>
      </c>
      <c r="C393" s="6">
        <f t="shared" si="1"/>
        <v>4669.458135</v>
      </c>
      <c r="D393" s="3">
        <v>0.58813</v>
      </c>
      <c r="E393" s="6">
        <v>241454.0</v>
      </c>
      <c r="F393" s="6">
        <v>0.0</v>
      </c>
      <c r="G393" s="6">
        <v>6.8</v>
      </c>
      <c r="H393" s="7">
        <v>-89.4</v>
      </c>
      <c r="I393" s="3">
        <v>7939.5</v>
      </c>
      <c r="J393" s="3">
        <v>844.5</v>
      </c>
      <c r="K393" s="3">
        <v>8035.564</v>
      </c>
      <c r="L393" s="8">
        <v>7982.0</v>
      </c>
      <c r="M393" s="3">
        <v>7993.6787109375</v>
      </c>
    </row>
    <row r="394" ht="12.0" customHeight="1">
      <c r="A394" s="6">
        <v>1987.0</v>
      </c>
      <c r="B394" s="3">
        <v>1008.0</v>
      </c>
      <c r="C394" s="6">
        <f t="shared" si="1"/>
        <v>4736.238</v>
      </c>
      <c r="D394" s="3">
        <v>0.5924</v>
      </c>
      <c r="E394" s="6">
        <v>241931.0</v>
      </c>
      <c r="F394" s="6">
        <v>0.0</v>
      </c>
      <c r="G394" s="6">
        <v>6.6</v>
      </c>
      <c r="H394" s="7">
        <v>0.0</v>
      </c>
      <c r="I394" s="3">
        <v>7995.0</v>
      </c>
      <c r="J394" s="3">
        <v>848.1</v>
      </c>
      <c r="K394" s="3">
        <v>8100.156</v>
      </c>
      <c r="L394" s="8">
        <v>8046.0</v>
      </c>
      <c r="M394" s="3">
        <v>8029.8798828125</v>
      </c>
    </row>
    <row r="395" ht="12.0" customHeight="1">
      <c r="A395" s="6">
        <v>1987.25</v>
      </c>
      <c r="B395" s="3">
        <v>1025.0</v>
      </c>
      <c r="C395" s="6">
        <f t="shared" si="1"/>
        <v>4821.472539</v>
      </c>
      <c r="D395" s="3">
        <v>0.59637</v>
      </c>
      <c r="E395" s="6">
        <v>242428.0</v>
      </c>
      <c r="F395" s="6">
        <v>0.0</v>
      </c>
      <c r="G395" s="6">
        <v>6.3</v>
      </c>
      <c r="H395" s="7">
        <v>0.0</v>
      </c>
      <c r="I395" s="3">
        <v>8084.7</v>
      </c>
      <c r="J395" s="3">
        <v>917.3</v>
      </c>
      <c r="K395" s="3">
        <v>8165.173</v>
      </c>
      <c r="L395" s="8">
        <v>8111.0</v>
      </c>
      <c r="M395" s="3">
        <v>8066.2451171875</v>
      </c>
    </row>
    <row r="396" ht="12.0" customHeight="1">
      <c r="A396" s="6">
        <v>1987.5</v>
      </c>
      <c r="B396" s="3">
        <v>1036.0</v>
      </c>
      <c r="C396" s="6">
        <f t="shared" si="1"/>
        <v>4900.5106</v>
      </c>
      <c r="D396" s="3">
        <v>0.6007</v>
      </c>
      <c r="E396" s="6">
        <v>243013.0</v>
      </c>
      <c r="F396" s="6">
        <v>0.0</v>
      </c>
      <c r="G396" s="6">
        <v>6.0</v>
      </c>
      <c r="H396" s="7">
        <v>0.0</v>
      </c>
      <c r="I396" s="3">
        <v>8158.0</v>
      </c>
      <c r="J396" s="3">
        <v>908.9</v>
      </c>
      <c r="K396" s="3">
        <v>8230.595</v>
      </c>
      <c r="L396" s="8">
        <v>8175.0</v>
      </c>
      <c r="M396" s="3">
        <v>8102.77490234375</v>
      </c>
    </row>
    <row r="397" ht="12.0" customHeight="1">
      <c r="A397" s="6">
        <v>1987.75</v>
      </c>
      <c r="B397" s="3">
        <v>1054.0</v>
      </c>
      <c r="C397" s="6">
        <f t="shared" si="1"/>
        <v>5022.639609</v>
      </c>
      <c r="D397" s="3">
        <v>0.60567</v>
      </c>
      <c r="E397" s="6">
        <v>243631.0</v>
      </c>
      <c r="F397" s="6">
        <v>0.0</v>
      </c>
      <c r="G397" s="6">
        <v>5.8</v>
      </c>
      <c r="H397" s="7">
        <v>0.0</v>
      </c>
      <c r="I397" s="3">
        <v>8292.7</v>
      </c>
      <c r="J397" s="3">
        <v>923.7</v>
      </c>
      <c r="K397" s="3">
        <v>8296.358</v>
      </c>
      <c r="L397" s="8">
        <v>8240.0</v>
      </c>
      <c r="M397" s="3">
        <v>8139.47021484375</v>
      </c>
    </row>
    <row r="398" ht="12.0" customHeight="1">
      <c r="A398" s="6">
        <v>1988.0</v>
      </c>
      <c r="B398" s="3">
        <v>1057.0</v>
      </c>
      <c r="C398" s="6">
        <f t="shared" si="1"/>
        <v>5090.558899</v>
      </c>
      <c r="D398" s="3">
        <v>0.61043</v>
      </c>
      <c r="E398" s="6">
        <v>244130.0</v>
      </c>
      <c r="F398" s="6">
        <v>0.0</v>
      </c>
      <c r="G398" s="6">
        <v>5.7</v>
      </c>
      <c r="H398" s="7">
        <v>-242.0</v>
      </c>
      <c r="I398" s="3">
        <v>8339.3</v>
      </c>
      <c r="J398" s="3">
        <v>942.4</v>
      </c>
      <c r="K398" s="3">
        <v>8362.513</v>
      </c>
      <c r="L398" s="8">
        <v>8305.0</v>
      </c>
      <c r="M398" s="3">
        <v>8174.5771484375</v>
      </c>
    </row>
    <row r="399" ht="12.0" customHeight="1">
      <c r="A399" s="6">
        <v>1988.25</v>
      </c>
      <c r="B399" s="3">
        <v>1070.8</v>
      </c>
      <c r="C399" s="6">
        <f t="shared" si="1"/>
        <v>5207.680335</v>
      </c>
      <c r="D399" s="3">
        <v>0.61633</v>
      </c>
      <c r="E399" s="6">
        <v>244620.0</v>
      </c>
      <c r="F399" s="6">
        <v>0.0</v>
      </c>
      <c r="G399" s="6">
        <v>5.5</v>
      </c>
      <c r="H399" s="7">
        <v>0.0</v>
      </c>
      <c r="I399" s="3">
        <v>8449.5</v>
      </c>
      <c r="J399" s="3">
        <v>951.3</v>
      </c>
      <c r="K399" s="3">
        <v>8429.105</v>
      </c>
      <c r="L399" s="8">
        <v>8370.0</v>
      </c>
      <c r="M399" s="3">
        <v>8209.8359375</v>
      </c>
    </row>
    <row r="400" ht="12.0" customHeight="1">
      <c r="A400" s="6">
        <v>1988.5</v>
      </c>
      <c r="B400" s="3">
        <v>1078.4</v>
      </c>
      <c r="C400" s="6">
        <f t="shared" si="1"/>
        <v>5299.454897</v>
      </c>
      <c r="D400" s="3">
        <v>0.62359</v>
      </c>
      <c r="E400" s="6">
        <v>245242.0</v>
      </c>
      <c r="F400" s="6">
        <v>0.0</v>
      </c>
      <c r="G400" s="6">
        <v>5.5</v>
      </c>
      <c r="H400" s="7">
        <v>0.0</v>
      </c>
      <c r="I400" s="3">
        <v>8498.3</v>
      </c>
      <c r="J400" s="3">
        <v>967.5</v>
      </c>
      <c r="K400" s="3">
        <v>8496.082</v>
      </c>
      <c r="L400" s="8">
        <v>8436.0</v>
      </c>
      <c r="M400" s="3">
        <v>8245.2548828125</v>
      </c>
    </row>
    <row r="401" ht="12.0" customHeight="1">
      <c r="A401" s="6">
        <v>1988.75</v>
      </c>
      <c r="B401" s="3">
        <v>1106.4</v>
      </c>
      <c r="C401" s="6">
        <f t="shared" si="1"/>
        <v>5412.725631</v>
      </c>
      <c r="D401" s="3">
        <v>0.62859</v>
      </c>
      <c r="E401" s="6">
        <v>245878.0</v>
      </c>
      <c r="F401" s="6">
        <v>0.0</v>
      </c>
      <c r="G401" s="6">
        <v>5.3</v>
      </c>
      <c r="H401" s="7">
        <v>-58.8</v>
      </c>
      <c r="I401" s="3">
        <v>8610.9</v>
      </c>
      <c r="J401" s="3">
        <v>988.6</v>
      </c>
      <c r="K401" s="3">
        <v>8563.412</v>
      </c>
      <c r="L401" s="8">
        <v>8501.0</v>
      </c>
      <c r="M401" s="3">
        <v>8280.818359375</v>
      </c>
    </row>
    <row r="402" ht="12.0" customHeight="1">
      <c r="A402" s="6">
        <v>1989.0</v>
      </c>
      <c r="B402" s="3">
        <v>1116.9</v>
      </c>
      <c r="C402" s="6">
        <f t="shared" si="1"/>
        <v>5527.38835</v>
      </c>
      <c r="D402" s="3">
        <v>0.6355</v>
      </c>
      <c r="E402" s="6">
        <v>246377.0</v>
      </c>
      <c r="F402" s="6">
        <v>0.0</v>
      </c>
      <c r="G402" s="6">
        <v>5.2</v>
      </c>
      <c r="H402" s="7">
        <v>0.0</v>
      </c>
      <c r="I402" s="3">
        <v>8697.7</v>
      </c>
      <c r="J402" s="3">
        <v>1032.9</v>
      </c>
      <c r="K402" s="3">
        <v>8631.119</v>
      </c>
      <c r="L402" s="8">
        <v>8568.0</v>
      </c>
      <c r="M402" s="3">
        <v>8318.478515625</v>
      </c>
    </row>
    <row r="403" ht="12.0" customHeight="1">
      <c r="A403" s="6">
        <v>1989.25</v>
      </c>
      <c r="B403" s="3">
        <v>1146.1</v>
      </c>
      <c r="C403" s="6">
        <f t="shared" si="1"/>
        <v>5628.449827</v>
      </c>
      <c r="D403" s="3">
        <v>0.64207</v>
      </c>
      <c r="E403" s="6">
        <v>246914.0</v>
      </c>
      <c r="F403" s="6">
        <v>0.0</v>
      </c>
      <c r="G403" s="6">
        <v>5.2</v>
      </c>
      <c r="H403" s="7">
        <v>0.0</v>
      </c>
      <c r="I403" s="3">
        <v>8766.1</v>
      </c>
      <c r="J403" s="3">
        <v>1033.2</v>
      </c>
      <c r="K403" s="3">
        <v>8699.262</v>
      </c>
      <c r="L403" s="8">
        <v>8634.0</v>
      </c>
      <c r="M403" s="3">
        <v>8356.3095703125</v>
      </c>
    </row>
    <row r="404" ht="12.0" customHeight="1">
      <c r="A404" s="6">
        <v>1989.5</v>
      </c>
      <c r="B404" s="3">
        <v>1164.6</v>
      </c>
      <c r="C404" s="6">
        <f t="shared" si="1"/>
        <v>5711.50768</v>
      </c>
      <c r="D404" s="3">
        <v>0.64672</v>
      </c>
      <c r="E404" s="6">
        <v>247577.0</v>
      </c>
      <c r="F404" s="6">
        <v>0.0</v>
      </c>
      <c r="G404" s="6">
        <v>5.2</v>
      </c>
      <c r="H404" s="7">
        <v>0.0</v>
      </c>
      <c r="I404" s="3">
        <v>8831.5</v>
      </c>
      <c r="J404" s="3">
        <v>1046.0</v>
      </c>
      <c r="K404" s="3">
        <v>8767.75</v>
      </c>
      <c r="L404" s="8">
        <v>8701.0</v>
      </c>
      <c r="M404" s="3">
        <v>8394.3134765625</v>
      </c>
    </row>
    <row r="405" ht="12.0" customHeight="1">
      <c r="A405" s="6">
        <v>1989.75</v>
      </c>
      <c r="B405" s="3">
        <v>1180.2</v>
      </c>
      <c r="C405" s="6">
        <f t="shared" si="1"/>
        <v>5763.427244</v>
      </c>
      <c r="D405" s="3">
        <v>0.65122</v>
      </c>
      <c r="E405" s="6">
        <v>248276.0</v>
      </c>
      <c r="F405" s="6">
        <v>0.0</v>
      </c>
      <c r="G405" s="6">
        <v>5.4</v>
      </c>
      <c r="H405" s="7">
        <v>-507.6</v>
      </c>
      <c r="I405" s="3">
        <v>8850.2</v>
      </c>
      <c r="J405" s="3">
        <v>1057.8</v>
      </c>
      <c r="K405" s="3">
        <v>8836.651</v>
      </c>
      <c r="L405" s="8">
        <v>8768.0</v>
      </c>
      <c r="M405" s="3">
        <v>8432.490234375</v>
      </c>
    </row>
    <row r="406" ht="12.0" customHeight="1">
      <c r="A406" s="6">
        <v>1990.0</v>
      </c>
      <c r="B406" s="3">
        <v>1214.0</v>
      </c>
      <c r="C406" s="6">
        <f t="shared" si="1"/>
        <v>5890.860111</v>
      </c>
      <c r="D406" s="3">
        <v>0.65841</v>
      </c>
      <c r="E406" s="6">
        <v>248833.0</v>
      </c>
      <c r="F406" s="6">
        <v>0.0</v>
      </c>
      <c r="G406" s="6">
        <v>5.3</v>
      </c>
      <c r="H406" s="7">
        <v>0.0</v>
      </c>
      <c r="I406" s="3">
        <v>8947.1</v>
      </c>
      <c r="J406" s="3">
        <v>1065.1</v>
      </c>
      <c r="K406" s="3">
        <v>8905.89</v>
      </c>
      <c r="L406" s="8">
        <v>8835.0</v>
      </c>
      <c r="M406" s="3">
        <v>8471.6240234375</v>
      </c>
    </row>
    <row r="407" ht="12.0" customHeight="1">
      <c r="A407" s="6">
        <v>1990.25</v>
      </c>
      <c r="B407" s="3">
        <v>1228.6</v>
      </c>
      <c r="C407" s="6">
        <f t="shared" si="1"/>
        <v>5974.62684</v>
      </c>
      <c r="D407" s="3">
        <v>0.6652</v>
      </c>
      <c r="E407" s="6">
        <v>249573.0</v>
      </c>
      <c r="F407" s="6">
        <v>0.0</v>
      </c>
      <c r="G407" s="6">
        <v>5.3</v>
      </c>
      <c r="H407" s="7">
        <v>0.0</v>
      </c>
      <c r="I407" s="3">
        <v>8981.7</v>
      </c>
      <c r="J407" s="3">
        <v>1081.3</v>
      </c>
      <c r="K407" s="3">
        <v>8975.586</v>
      </c>
      <c r="L407" s="8">
        <v>8903.0</v>
      </c>
      <c r="M407" s="3">
        <v>8510.947265625</v>
      </c>
    </row>
    <row r="408" ht="12.0" customHeight="1">
      <c r="A408" s="6">
        <v>1990.5</v>
      </c>
      <c r="B408" s="3">
        <v>1240.4</v>
      </c>
      <c r="C408" s="6">
        <f t="shared" si="1"/>
        <v>6029.454646</v>
      </c>
      <c r="D408" s="3">
        <v>0.67114</v>
      </c>
      <c r="E408" s="6">
        <v>250441.0</v>
      </c>
      <c r="F408" s="6">
        <v>1.0</v>
      </c>
      <c r="G408" s="6">
        <v>5.7</v>
      </c>
      <c r="H408" s="7">
        <v>0.0</v>
      </c>
      <c r="I408" s="3">
        <v>8983.9</v>
      </c>
      <c r="J408" s="3">
        <v>1096.9</v>
      </c>
      <c r="K408" s="3">
        <v>9045.576</v>
      </c>
      <c r="L408" s="8">
        <v>8970.0</v>
      </c>
      <c r="M408" s="3">
        <v>8550.453125</v>
      </c>
    </row>
    <row r="409" ht="12.0" customHeight="1">
      <c r="A409" s="6">
        <v>1990.75</v>
      </c>
      <c r="B409" s="3">
        <v>1270.4</v>
      </c>
      <c r="C409" s="6">
        <f t="shared" si="1"/>
        <v>6023.362028</v>
      </c>
      <c r="D409" s="3">
        <v>0.67622</v>
      </c>
      <c r="E409" s="6">
        <v>251343.0</v>
      </c>
      <c r="F409" s="6">
        <v>1.0</v>
      </c>
      <c r="G409" s="6">
        <v>6.1</v>
      </c>
      <c r="H409" s="7">
        <v>112.1</v>
      </c>
      <c r="I409" s="3">
        <v>8907.4</v>
      </c>
      <c r="J409" s="3">
        <v>1107.2</v>
      </c>
      <c r="K409" s="3">
        <v>9115.982</v>
      </c>
      <c r="L409" s="8">
        <v>9037.0</v>
      </c>
      <c r="M409" s="3">
        <v>8590.1337890625</v>
      </c>
    </row>
    <row r="410" ht="12.0" customHeight="1">
      <c r="A410" s="6">
        <v>1991.0</v>
      </c>
      <c r="B410" s="3">
        <v>1287.2</v>
      </c>
      <c r="C410" s="6">
        <f t="shared" si="1"/>
        <v>6054.850176</v>
      </c>
      <c r="D410" s="3">
        <v>0.68296</v>
      </c>
      <c r="E410" s="6">
        <v>252132.0</v>
      </c>
      <c r="F410" s="6">
        <v>1.0</v>
      </c>
      <c r="G410" s="6">
        <v>6.6</v>
      </c>
      <c r="H410" s="7">
        <v>0.0</v>
      </c>
      <c r="I410" s="3">
        <v>8865.6</v>
      </c>
      <c r="J410" s="3">
        <v>1099.1</v>
      </c>
      <c r="K410" s="3">
        <v>9186.762</v>
      </c>
      <c r="L410" s="8">
        <v>9104.0</v>
      </c>
      <c r="M410" s="3">
        <v>8633.46484375</v>
      </c>
    </row>
    <row r="411" ht="12.0" customHeight="1">
      <c r="A411" s="6">
        <v>1991.25</v>
      </c>
      <c r="B411" s="3">
        <v>1296.6</v>
      </c>
      <c r="C411" s="6">
        <f t="shared" si="1"/>
        <v>6143.650816</v>
      </c>
      <c r="D411" s="3">
        <v>0.68764</v>
      </c>
      <c r="E411" s="6">
        <v>252921.0</v>
      </c>
      <c r="F411" s="6">
        <v>0.0</v>
      </c>
      <c r="G411" s="6">
        <v>6.8</v>
      </c>
      <c r="H411" s="7">
        <v>0.0</v>
      </c>
      <c r="I411" s="3">
        <v>8934.4</v>
      </c>
      <c r="J411" s="3">
        <v>1101.3</v>
      </c>
      <c r="K411" s="3">
        <v>9257.888</v>
      </c>
      <c r="L411" s="8">
        <v>9170.0</v>
      </c>
      <c r="M411" s="3">
        <v>8677.0224609375</v>
      </c>
    </row>
    <row r="412" ht="12.0" customHeight="1">
      <c r="A412" s="6">
        <v>1991.5</v>
      </c>
      <c r="B412" s="3">
        <v>1302.4</v>
      </c>
      <c r="C412" s="6">
        <f t="shared" si="1"/>
        <v>6218.485937</v>
      </c>
      <c r="D412" s="3">
        <v>0.69269</v>
      </c>
      <c r="E412" s="6">
        <v>253809.0</v>
      </c>
      <c r="F412" s="6">
        <v>0.0</v>
      </c>
      <c r="G412" s="6">
        <v>6.9</v>
      </c>
      <c r="H412" s="7">
        <v>0.0</v>
      </c>
      <c r="I412" s="3">
        <v>8977.3</v>
      </c>
      <c r="J412" s="3">
        <v>1110.4</v>
      </c>
      <c r="K412" s="3">
        <v>9329.377</v>
      </c>
      <c r="L412" s="8">
        <v>9236.0</v>
      </c>
      <c r="M412" s="3">
        <v>8720.7919921875</v>
      </c>
    </row>
    <row r="413" ht="12.0" customHeight="1">
      <c r="A413" s="6">
        <v>1991.75</v>
      </c>
      <c r="B413" s="3">
        <v>1306.5</v>
      </c>
      <c r="C413" s="6">
        <f t="shared" si="1"/>
        <v>6279.291452</v>
      </c>
      <c r="D413" s="3">
        <v>0.69643</v>
      </c>
      <c r="E413" s="6">
        <v>254706.0</v>
      </c>
      <c r="F413" s="6">
        <v>0.0</v>
      </c>
      <c r="G413" s="6">
        <v>7.1</v>
      </c>
      <c r="H413" s="7">
        <v>-112.1</v>
      </c>
      <c r="I413" s="3">
        <v>9016.4</v>
      </c>
      <c r="J413" s="3">
        <v>1120.5</v>
      </c>
      <c r="K413" s="3">
        <v>9401.293</v>
      </c>
      <c r="L413" s="8">
        <v>9302.0</v>
      </c>
      <c r="M413" s="3">
        <v>8764.7822265625</v>
      </c>
    </row>
    <row r="414" ht="12.0" customHeight="1">
      <c r="A414" s="6">
        <v>1992.0</v>
      </c>
      <c r="B414" s="3">
        <v>1326.9</v>
      </c>
      <c r="C414" s="6">
        <f t="shared" si="1"/>
        <v>6380.80866</v>
      </c>
      <c r="D414" s="3">
        <v>0.69942</v>
      </c>
      <c r="E414" s="6">
        <v>255455.0</v>
      </c>
      <c r="F414" s="6">
        <v>0.0</v>
      </c>
      <c r="G414" s="6">
        <v>7.4</v>
      </c>
      <c r="H414" s="7">
        <v>0.0</v>
      </c>
      <c r="I414" s="3">
        <v>9123.0</v>
      </c>
      <c r="J414" s="3">
        <v>1131.2</v>
      </c>
      <c r="K414" s="3">
        <v>9473.546</v>
      </c>
      <c r="L414" s="8">
        <v>9368.0</v>
      </c>
      <c r="M414" s="3">
        <v>8815.162109375</v>
      </c>
    </row>
    <row r="415" ht="12.0" customHeight="1">
      <c r="A415" s="6">
        <v>1992.25</v>
      </c>
      <c r="B415" s="3">
        <v>1338.7</v>
      </c>
      <c r="C415" s="6">
        <f t="shared" si="1"/>
        <v>6492.23718</v>
      </c>
      <c r="D415" s="3">
        <v>0.70388</v>
      </c>
      <c r="E415" s="6">
        <v>256289.0</v>
      </c>
      <c r="F415" s="6">
        <v>0.0</v>
      </c>
      <c r="G415" s="6">
        <v>7.6</v>
      </c>
      <c r="H415" s="7">
        <v>0.0</v>
      </c>
      <c r="I415" s="3">
        <v>9223.5</v>
      </c>
      <c r="J415" s="3">
        <v>1145.7</v>
      </c>
      <c r="K415" s="3">
        <v>9546.091</v>
      </c>
      <c r="L415" s="8">
        <v>9436.0</v>
      </c>
      <c r="M415" s="3">
        <v>8865.83203125</v>
      </c>
    </row>
    <row r="416" ht="12.0" customHeight="1">
      <c r="A416" s="6">
        <v>1992.5</v>
      </c>
      <c r="B416" s="3">
        <v>1355.4</v>
      </c>
      <c r="C416" s="6">
        <f t="shared" si="1"/>
        <v>6586.574436</v>
      </c>
      <c r="D416" s="3">
        <v>0.70723</v>
      </c>
      <c r="E416" s="6">
        <v>257225.0</v>
      </c>
      <c r="F416" s="6">
        <v>0.0</v>
      </c>
      <c r="G416" s="6">
        <v>7.6</v>
      </c>
      <c r="H416" s="7">
        <v>0.0</v>
      </c>
      <c r="I416" s="3">
        <v>9313.2</v>
      </c>
      <c r="J416" s="3">
        <v>1153.1</v>
      </c>
      <c r="K416" s="3">
        <v>9619.081</v>
      </c>
      <c r="L416" s="8">
        <v>9504.0</v>
      </c>
      <c r="M416" s="3">
        <v>8916.78515625</v>
      </c>
    </row>
    <row r="417" ht="12.0" customHeight="1">
      <c r="A417" s="6">
        <v>1992.75</v>
      </c>
      <c r="B417" s="3">
        <v>1360.5</v>
      </c>
      <c r="C417" s="6">
        <f t="shared" si="1"/>
        <v>6697.522065</v>
      </c>
      <c r="D417" s="3">
        <v>0.71201</v>
      </c>
      <c r="E417" s="6">
        <v>258140.0</v>
      </c>
      <c r="F417" s="6">
        <v>0.0</v>
      </c>
      <c r="G417" s="6">
        <v>7.4</v>
      </c>
      <c r="H417" s="7">
        <v>0.0</v>
      </c>
      <c r="I417" s="3">
        <v>9406.5</v>
      </c>
      <c r="J417" s="3">
        <v>1187.4</v>
      </c>
      <c r="K417" s="3">
        <v>9692.361</v>
      </c>
      <c r="L417" s="8">
        <v>9575.0</v>
      </c>
      <c r="M417" s="3">
        <v>8968.0390625</v>
      </c>
    </row>
    <row r="418" ht="12.0" customHeight="1">
      <c r="A418" s="6">
        <v>1993.0</v>
      </c>
      <c r="B418" s="3">
        <v>1351.5</v>
      </c>
      <c r="C418" s="6">
        <f t="shared" si="1"/>
        <v>6748.221046</v>
      </c>
      <c r="D418" s="3">
        <v>0.71606</v>
      </c>
      <c r="E418" s="6">
        <v>258917.0</v>
      </c>
      <c r="F418" s="6">
        <v>0.0</v>
      </c>
      <c r="G418" s="6">
        <v>7.1</v>
      </c>
      <c r="H418" s="7">
        <v>0.0</v>
      </c>
      <c r="I418" s="3">
        <v>9424.1</v>
      </c>
      <c r="J418" s="3">
        <v>1178.6</v>
      </c>
      <c r="K418" s="3">
        <v>9765.995</v>
      </c>
      <c r="L418" s="8">
        <v>9647.0</v>
      </c>
      <c r="M418" s="3">
        <v>9023.01171875</v>
      </c>
    </row>
    <row r="419" ht="12.0" customHeight="1">
      <c r="A419" s="6">
        <v>1993.25</v>
      </c>
      <c r="B419" s="3">
        <v>1360.9</v>
      </c>
      <c r="C419" s="6">
        <f t="shared" si="1"/>
        <v>6829.558841</v>
      </c>
      <c r="D419" s="3">
        <v>0.72041</v>
      </c>
      <c r="E419" s="6">
        <v>259686.0</v>
      </c>
      <c r="F419" s="6">
        <v>0.0</v>
      </c>
      <c r="G419" s="6">
        <v>7.1</v>
      </c>
      <c r="H419" s="7">
        <v>0.0</v>
      </c>
      <c r="I419" s="3">
        <v>9480.1</v>
      </c>
      <c r="J419" s="3">
        <v>1225.4</v>
      </c>
      <c r="K419" s="3">
        <v>9839.972</v>
      </c>
      <c r="L419" s="8">
        <v>9722.0</v>
      </c>
      <c r="M419" s="3">
        <v>9078.3125</v>
      </c>
    </row>
    <row r="420" ht="12.0" customHeight="1">
      <c r="A420" s="6">
        <v>1993.5</v>
      </c>
      <c r="B420" s="3">
        <v>1370.6</v>
      </c>
      <c r="C420" s="6">
        <f t="shared" si="1"/>
        <v>6904.185925</v>
      </c>
      <c r="D420" s="3">
        <v>0.72475</v>
      </c>
      <c r="E420" s="6">
        <v>260563.0</v>
      </c>
      <c r="F420" s="6">
        <v>0.0</v>
      </c>
      <c r="G420" s="6">
        <v>6.8</v>
      </c>
      <c r="H420" s="7">
        <v>0.0</v>
      </c>
      <c r="I420" s="3">
        <v>9526.3</v>
      </c>
      <c r="J420" s="3">
        <v>1233.1</v>
      </c>
      <c r="K420" s="3">
        <v>9914.33</v>
      </c>
      <c r="L420" s="8">
        <v>9799.0</v>
      </c>
      <c r="M420" s="3">
        <v>9133.9619140625</v>
      </c>
    </row>
    <row r="421" ht="12.0" customHeight="1">
      <c r="A421" s="6">
        <v>1993.75</v>
      </c>
      <c r="B421" s="3">
        <v>1381.3</v>
      </c>
      <c r="C421" s="6">
        <f t="shared" si="1"/>
        <v>7032.864355</v>
      </c>
      <c r="D421" s="3">
        <v>0.72853</v>
      </c>
      <c r="E421" s="6">
        <v>261421.0</v>
      </c>
      <c r="F421" s="6">
        <v>0.0</v>
      </c>
      <c r="G421" s="6">
        <v>6.6</v>
      </c>
      <c r="H421" s="7">
        <v>0.0</v>
      </c>
      <c r="I421" s="3">
        <v>9653.5</v>
      </c>
      <c r="J421" s="3">
        <v>1286.8</v>
      </c>
      <c r="K421" s="3">
        <v>9989.002</v>
      </c>
      <c r="L421" s="8">
        <v>9877.0</v>
      </c>
      <c r="M421" s="3">
        <v>9189.951171875</v>
      </c>
    </row>
    <row r="422" ht="12.0" customHeight="1">
      <c r="A422" s="6">
        <v>1994.0</v>
      </c>
      <c r="B422" s="3">
        <v>1373.9</v>
      </c>
      <c r="C422" s="6">
        <f t="shared" si="1"/>
        <v>7136.267292</v>
      </c>
      <c r="D422" s="3">
        <v>0.73206</v>
      </c>
      <c r="E422" s="6">
        <v>262131.0</v>
      </c>
      <c r="F422" s="6">
        <v>0.0</v>
      </c>
      <c r="G422" s="6">
        <v>6.6</v>
      </c>
      <c r="H422" s="7">
        <v>0.0</v>
      </c>
      <c r="I422" s="3">
        <v>9748.2</v>
      </c>
      <c r="J422" s="3">
        <v>1284.3</v>
      </c>
      <c r="K422" s="3">
        <v>10064.03</v>
      </c>
      <c r="L422" s="8">
        <v>9957.0</v>
      </c>
      <c r="M422" s="3">
        <v>9249.1328125</v>
      </c>
    </row>
    <row r="423" ht="12.0" customHeight="1">
      <c r="A423" s="6">
        <v>1994.25</v>
      </c>
      <c r="B423" s="3">
        <v>1392.4</v>
      </c>
      <c r="C423" s="6">
        <f t="shared" si="1"/>
        <v>7269.844794</v>
      </c>
      <c r="D423" s="3">
        <v>0.73571</v>
      </c>
      <c r="E423" s="6">
        <v>262887.0</v>
      </c>
      <c r="F423" s="6">
        <v>0.0</v>
      </c>
      <c r="G423" s="6">
        <v>6.2</v>
      </c>
      <c r="H423" s="7">
        <v>0.0</v>
      </c>
      <c r="I423" s="3">
        <v>9881.4</v>
      </c>
      <c r="J423" s="3">
        <v>1330.7</v>
      </c>
      <c r="K423" s="3">
        <v>10139.31</v>
      </c>
      <c r="L423" s="8">
        <v>10040.0</v>
      </c>
      <c r="M423" s="3">
        <v>9308.6962890625</v>
      </c>
    </row>
    <row r="424" ht="12.0" customHeight="1">
      <c r="A424" s="6">
        <v>1994.5</v>
      </c>
      <c r="B424" s="3">
        <v>1424.4</v>
      </c>
      <c r="C424" s="6">
        <f t="shared" si="1"/>
        <v>7352.296693</v>
      </c>
      <c r="D424" s="3">
        <v>0.73969</v>
      </c>
      <c r="E424" s="6">
        <v>263726.0</v>
      </c>
      <c r="F424" s="6">
        <v>0.0</v>
      </c>
      <c r="G424" s="6">
        <v>6.0</v>
      </c>
      <c r="H424" s="7">
        <v>0.0</v>
      </c>
      <c r="I424" s="3">
        <v>9939.7</v>
      </c>
      <c r="J424" s="3">
        <v>1339.3</v>
      </c>
      <c r="K424" s="3">
        <v>10214.95</v>
      </c>
      <c r="L424" s="8">
        <v>10124.0</v>
      </c>
      <c r="M424" s="3">
        <v>9368.6337890625</v>
      </c>
    </row>
    <row r="425" ht="12.0" customHeight="1">
      <c r="A425" s="6">
        <v>1994.75</v>
      </c>
      <c r="B425" s="3">
        <v>1424.2</v>
      </c>
      <c r="C425" s="6">
        <f t="shared" si="1"/>
        <v>7476.6474</v>
      </c>
      <c r="D425" s="3">
        <v>0.74376</v>
      </c>
      <c r="E425" s="6">
        <v>264555.0</v>
      </c>
      <c r="F425" s="6">
        <v>0.0</v>
      </c>
      <c r="G425" s="6">
        <v>5.6</v>
      </c>
      <c r="H425" s="7">
        <v>0.0</v>
      </c>
      <c r="I425" s="3">
        <v>10052.5</v>
      </c>
      <c r="J425" s="3">
        <v>1363.0</v>
      </c>
      <c r="K425" s="3">
        <v>10290.9</v>
      </c>
      <c r="L425" s="8">
        <v>10208.0</v>
      </c>
      <c r="M425" s="3">
        <v>9428.9658203125</v>
      </c>
    </row>
    <row r="426" ht="12.0" customHeight="1">
      <c r="A426" s="6">
        <v>1995.0</v>
      </c>
      <c r="B426" s="3">
        <v>1440.0</v>
      </c>
      <c r="C426" s="6">
        <f t="shared" si="1"/>
        <v>7545.303807</v>
      </c>
      <c r="D426" s="3">
        <v>0.74803</v>
      </c>
      <c r="E426" s="6">
        <v>265270.0</v>
      </c>
      <c r="F426" s="6">
        <v>0.0</v>
      </c>
      <c r="G426" s="6">
        <v>5.5</v>
      </c>
      <c r="H426" s="7">
        <v>0.0</v>
      </c>
      <c r="I426" s="3">
        <v>10086.9</v>
      </c>
      <c r="J426" s="3">
        <v>1388.4</v>
      </c>
      <c r="K426" s="3">
        <v>10367.15</v>
      </c>
      <c r="L426" s="8">
        <v>10293.0</v>
      </c>
      <c r="M426" s="3">
        <v>9489.8681640625</v>
      </c>
    </row>
    <row r="427" ht="12.0" customHeight="1">
      <c r="A427" s="6">
        <v>1995.25</v>
      </c>
      <c r="B427" s="3">
        <v>1455.6</v>
      </c>
      <c r="C427" s="6">
        <f t="shared" si="1"/>
        <v>7604.937184</v>
      </c>
      <c r="D427" s="3">
        <v>0.7513201</v>
      </c>
      <c r="E427" s="6">
        <v>266008.0</v>
      </c>
      <c r="F427" s="6">
        <v>0.0</v>
      </c>
      <c r="G427" s="6">
        <v>5.7</v>
      </c>
      <c r="H427" s="7">
        <v>0.0</v>
      </c>
      <c r="I427" s="3">
        <v>10122.1</v>
      </c>
      <c r="J427" s="3">
        <v>1416.7</v>
      </c>
      <c r="K427" s="3">
        <v>10443.76</v>
      </c>
      <c r="L427" s="8">
        <v>10376.0</v>
      </c>
      <c r="M427" s="3">
        <v>9551.171875</v>
      </c>
    </row>
    <row r="428" ht="12.0" customHeight="1">
      <c r="A428" s="6">
        <v>1995.5</v>
      </c>
      <c r="B428" s="3">
        <v>1457.3</v>
      </c>
      <c r="C428" s="6">
        <f t="shared" si="1"/>
        <v>7706.521032</v>
      </c>
      <c r="D428" s="3">
        <v>0.75489</v>
      </c>
      <c r="E428" s="6">
        <v>266851.0</v>
      </c>
      <c r="F428" s="6">
        <v>0.0</v>
      </c>
      <c r="G428" s="6">
        <v>5.7</v>
      </c>
      <c r="H428" s="7">
        <v>0.0</v>
      </c>
      <c r="I428" s="3">
        <v>10208.8</v>
      </c>
      <c r="J428" s="3">
        <v>1423.6</v>
      </c>
      <c r="K428" s="3">
        <v>10520.56</v>
      </c>
      <c r="L428" s="8">
        <v>10459.0</v>
      </c>
      <c r="M428" s="3">
        <v>9612.86328125</v>
      </c>
    </row>
    <row r="429" ht="12.0" customHeight="1">
      <c r="A429" s="6">
        <v>1995.75</v>
      </c>
      <c r="B429" s="3">
        <v>1455.7</v>
      </c>
      <c r="C429" s="6">
        <f t="shared" si="1"/>
        <v>7799.421132</v>
      </c>
      <c r="D429" s="3">
        <v>0.75861</v>
      </c>
      <c r="E429" s="6">
        <v>267705.0</v>
      </c>
      <c r="F429" s="6">
        <v>0.0</v>
      </c>
      <c r="G429" s="6">
        <v>5.6</v>
      </c>
      <c r="H429" s="7">
        <v>0.0</v>
      </c>
      <c r="I429" s="3">
        <v>10281.2</v>
      </c>
      <c r="J429" s="3">
        <v>1440.9</v>
      </c>
      <c r="K429" s="3">
        <v>10597.73</v>
      </c>
      <c r="L429" s="8">
        <v>10542.0</v>
      </c>
      <c r="M429" s="3">
        <v>9674.953125</v>
      </c>
    </row>
    <row r="430" ht="12.0" customHeight="1">
      <c r="A430" s="6">
        <v>1996.0</v>
      </c>
      <c r="B430" s="3">
        <v>1472.9</v>
      </c>
      <c r="C430" s="6">
        <f t="shared" si="1"/>
        <v>7893.160464</v>
      </c>
      <c r="D430" s="3">
        <v>0.76272</v>
      </c>
      <c r="E430" s="6">
        <v>268370.0</v>
      </c>
      <c r="F430" s="6">
        <v>0.0</v>
      </c>
      <c r="G430" s="6">
        <v>5.5</v>
      </c>
      <c r="H430" s="7">
        <v>0.0</v>
      </c>
      <c r="I430" s="3">
        <v>10348.7</v>
      </c>
      <c r="J430" s="3">
        <v>1477.5</v>
      </c>
      <c r="K430" s="3">
        <v>10675.18</v>
      </c>
      <c r="L430" s="8">
        <v>10624.0</v>
      </c>
      <c r="M430" s="3">
        <v>9737.8994140625</v>
      </c>
    </row>
    <row r="431" ht="12.0" customHeight="1">
      <c r="A431" s="6">
        <v>1996.25</v>
      </c>
      <c r="B431" s="3">
        <v>1492.5</v>
      </c>
      <c r="C431" s="6">
        <f t="shared" si="1"/>
        <v>8061.519228</v>
      </c>
      <c r="D431" s="3">
        <v>0.76562</v>
      </c>
      <c r="E431" s="6">
        <v>269116.0</v>
      </c>
      <c r="F431" s="6">
        <v>0.0</v>
      </c>
      <c r="G431" s="6">
        <v>5.5</v>
      </c>
      <c r="H431" s="7">
        <v>0.0</v>
      </c>
      <c r="I431" s="3">
        <v>10529.4</v>
      </c>
      <c r="J431" s="3">
        <v>1531.8</v>
      </c>
      <c r="K431" s="3">
        <v>10752.89</v>
      </c>
      <c r="L431" s="8">
        <v>10707.0</v>
      </c>
      <c r="M431" s="3">
        <v>9801.25390625</v>
      </c>
    </row>
    <row r="432" ht="12.0" customHeight="1">
      <c r="A432" s="6">
        <v>1996.5</v>
      </c>
      <c r="B432" s="3">
        <v>1500.5</v>
      </c>
      <c r="C432" s="6">
        <f t="shared" si="1"/>
        <v>8159.044504</v>
      </c>
      <c r="D432" s="3">
        <v>0.76778</v>
      </c>
      <c r="E432" s="6">
        <v>269976.0</v>
      </c>
      <c r="F432" s="6">
        <v>0.0</v>
      </c>
      <c r="G432" s="6">
        <v>5.3</v>
      </c>
      <c r="H432" s="7">
        <v>0.0</v>
      </c>
      <c r="I432" s="3">
        <v>10626.8</v>
      </c>
      <c r="J432" s="3">
        <v>1543.9</v>
      </c>
      <c r="K432" s="3">
        <v>10830.84</v>
      </c>
      <c r="L432" s="8">
        <v>10790.0</v>
      </c>
      <c r="M432" s="3">
        <v>9865.0126953125</v>
      </c>
    </row>
    <row r="433" ht="12.0" customHeight="1">
      <c r="A433" s="6">
        <v>1996.75</v>
      </c>
      <c r="B433" s="3">
        <v>1519.8</v>
      </c>
      <c r="C433" s="6">
        <f t="shared" si="1"/>
        <v>8287.148688</v>
      </c>
      <c r="D433" s="3">
        <v>0.77168</v>
      </c>
      <c r="E433" s="6">
        <v>270861.0</v>
      </c>
      <c r="F433" s="6">
        <v>0.0</v>
      </c>
      <c r="G433" s="6">
        <v>5.3</v>
      </c>
      <c r="H433" s="7">
        <v>0.0</v>
      </c>
      <c r="I433" s="3">
        <v>10739.1</v>
      </c>
      <c r="J433" s="3">
        <v>1591.9</v>
      </c>
      <c r="K433" s="3">
        <v>10909.06</v>
      </c>
      <c r="L433" s="8">
        <v>10875.0</v>
      </c>
      <c r="M433" s="3">
        <v>9929.1953125</v>
      </c>
    </row>
    <row r="434" ht="12.0" customHeight="1">
      <c r="A434" s="6">
        <v>1997.0</v>
      </c>
      <c r="B434" s="3">
        <v>1532.2</v>
      </c>
      <c r="C434" s="6">
        <f t="shared" si="1"/>
        <v>8402.104223</v>
      </c>
      <c r="D434" s="3">
        <v>0.77647</v>
      </c>
      <c r="E434" s="6">
        <v>271589.0</v>
      </c>
      <c r="F434" s="6">
        <v>0.0</v>
      </c>
      <c r="G434" s="6">
        <v>5.2</v>
      </c>
      <c r="H434" s="7">
        <v>0.0</v>
      </c>
      <c r="I434" s="3">
        <v>10820.9</v>
      </c>
      <c r="J434" s="3">
        <v>1616.5</v>
      </c>
      <c r="K434" s="3">
        <v>10987.5</v>
      </c>
      <c r="L434" s="8">
        <v>10963.0</v>
      </c>
      <c r="M434" s="3">
        <v>9992.6318359375</v>
      </c>
    </row>
    <row r="435" ht="12.0" customHeight="1">
      <c r="A435" s="6">
        <v>1997.25</v>
      </c>
      <c r="B435" s="3">
        <v>1552.2</v>
      </c>
      <c r="C435" s="6">
        <f t="shared" si="1"/>
        <v>8551.968594</v>
      </c>
      <c r="D435" s="3">
        <v>0.77857</v>
      </c>
      <c r="E435" s="6">
        <v>272349.0</v>
      </c>
      <c r="F435" s="6">
        <v>0.0</v>
      </c>
      <c r="G435" s="6">
        <v>5.0</v>
      </c>
      <c r="H435" s="7">
        <v>0.0</v>
      </c>
      <c r="I435" s="3">
        <v>10984.2</v>
      </c>
      <c r="J435" s="3">
        <v>1652.2</v>
      </c>
      <c r="K435" s="3">
        <v>11066.23</v>
      </c>
      <c r="L435" s="8">
        <v>11053.0</v>
      </c>
      <c r="M435" s="3">
        <v>10056.484375</v>
      </c>
    </row>
    <row r="436" ht="12.0" customHeight="1">
      <c r="A436" s="6">
        <v>1997.5</v>
      </c>
      <c r="B436" s="3">
        <v>1559.8</v>
      </c>
      <c r="C436" s="6">
        <f t="shared" si="1"/>
        <v>8691.7374</v>
      </c>
      <c r="D436" s="3">
        <v>0.78135</v>
      </c>
      <c r="E436" s="6">
        <v>273234.0</v>
      </c>
      <c r="F436" s="6">
        <v>0.0</v>
      </c>
      <c r="G436" s="6">
        <v>4.9</v>
      </c>
      <c r="H436" s="7">
        <v>0.0</v>
      </c>
      <c r="I436" s="3">
        <v>11124.0</v>
      </c>
      <c r="J436" s="3">
        <v>1689.0</v>
      </c>
      <c r="K436" s="3">
        <v>11145.15</v>
      </c>
      <c r="L436" s="8">
        <v>11145.0</v>
      </c>
      <c r="M436" s="3">
        <v>10120.734375</v>
      </c>
    </row>
    <row r="437" ht="12.0" customHeight="1">
      <c r="A437" s="6">
        <v>1997.75</v>
      </c>
      <c r="B437" s="3">
        <v>1572.4</v>
      </c>
      <c r="C437" s="6">
        <f t="shared" si="1"/>
        <v>8788.314685</v>
      </c>
      <c r="D437" s="3">
        <v>0.78395</v>
      </c>
      <c r="E437" s="6">
        <v>274117.0</v>
      </c>
      <c r="F437" s="6">
        <v>0.0</v>
      </c>
      <c r="G437" s="6">
        <v>4.7</v>
      </c>
      <c r="H437" s="7">
        <v>0.0</v>
      </c>
      <c r="I437" s="3">
        <v>11210.3</v>
      </c>
      <c r="J437" s="3">
        <v>1711.6</v>
      </c>
      <c r="K437" s="3">
        <v>11224.38</v>
      </c>
      <c r="L437" s="8">
        <v>11240.0</v>
      </c>
      <c r="M437" s="3">
        <v>10185.3955078125</v>
      </c>
    </row>
    <row r="438" ht="12.0" customHeight="1">
      <c r="A438" s="6">
        <v>1998.0</v>
      </c>
      <c r="B438" s="3">
        <v>1566.7</v>
      </c>
      <c r="C438" s="6">
        <f t="shared" si="1"/>
        <v>8889.745876</v>
      </c>
      <c r="D438" s="3">
        <v>0.78523</v>
      </c>
      <c r="E438" s="6">
        <v>274837.0</v>
      </c>
      <c r="F438" s="6">
        <v>0.0</v>
      </c>
      <c r="G438" s="6">
        <v>4.6</v>
      </c>
      <c r="H438" s="7">
        <v>0.0</v>
      </c>
      <c r="I438" s="3">
        <v>11321.2</v>
      </c>
      <c r="J438" s="3">
        <v>1745.9</v>
      </c>
      <c r="K438" s="3">
        <v>11303.78</v>
      </c>
      <c r="L438" s="8">
        <v>11337.0</v>
      </c>
      <c r="M438" s="3">
        <v>10252.884765625</v>
      </c>
    </row>
    <row r="439" ht="12.0" customHeight="1">
      <c r="A439" s="6">
        <v>1998.25</v>
      </c>
      <c r="B439" s="3">
        <v>1604.4</v>
      </c>
      <c r="C439" s="6">
        <f t="shared" si="1"/>
        <v>8994.709827</v>
      </c>
      <c r="D439" s="3">
        <v>0.7868699</v>
      </c>
      <c r="E439" s="6">
        <v>275568.0</v>
      </c>
      <c r="F439" s="6">
        <v>0.0</v>
      </c>
      <c r="G439" s="6">
        <v>4.4</v>
      </c>
      <c r="H439" s="7">
        <v>0.0</v>
      </c>
      <c r="I439" s="3">
        <v>11431.0</v>
      </c>
      <c r="J439" s="3">
        <v>1772.2</v>
      </c>
      <c r="K439" s="3">
        <v>11383.31</v>
      </c>
      <c r="L439" s="8">
        <v>11437.0</v>
      </c>
      <c r="M439" s="3">
        <v>10320.8203125</v>
      </c>
    </row>
    <row r="440" ht="12.0" customHeight="1">
      <c r="A440" s="6">
        <v>1998.5</v>
      </c>
      <c r="B440" s="3">
        <v>1628.6</v>
      </c>
      <c r="C440" s="6">
        <f t="shared" si="1"/>
        <v>9146.473686</v>
      </c>
      <c r="D440" s="3">
        <v>0.78981</v>
      </c>
      <c r="E440" s="6">
        <v>276416.0</v>
      </c>
      <c r="F440" s="6">
        <v>0.0</v>
      </c>
      <c r="G440" s="6">
        <v>4.5</v>
      </c>
      <c r="H440" s="7">
        <v>0.0</v>
      </c>
      <c r="I440" s="3">
        <v>11580.6</v>
      </c>
      <c r="J440" s="3">
        <v>1807.8</v>
      </c>
      <c r="K440" s="3">
        <v>11463.07</v>
      </c>
      <c r="L440" s="8">
        <v>11539.0</v>
      </c>
      <c r="M440" s="3">
        <v>10389.216796875</v>
      </c>
    </row>
    <row r="441" ht="12.0" customHeight="1">
      <c r="A441" s="6">
        <v>1998.75</v>
      </c>
      <c r="B441" s="3">
        <v>1654.3</v>
      </c>
      <c r="C441" s="6">
        <f t="shared" si="1"/>
        <v>9325.690196</v>
      </c>
      <c r="D441" s="3">
        <v>0.79228</v>
      </c>
      <c r="E441" s="6">
        <v>277269.0</v>
      </c>
      <c r="F441" s="6">
        <v>0.0</v>
      </c>
      <c r="G441" s="6">
        <v>4.4</v>
      </c>
      <c r="H441" s="7">
        <v>0.0</v>
      </c>
      <c r="I441" s="3">
        <v>11770.7</v>
      </c>
      <c r="J441" s="3">
        <v>1833.0</v>
      </c>
      <c r="K441" s="3">
        <v>11543.07</v>
      </c>
      <c r="L441" s="8">
        <v>11641.0</v>
      </c>
      <c r="M441" s="3">
        <v>10458.056640625</v>
      </c>
    </row>
    <row r="442" ht="12.0" customHeight="1">
      <c r="A442" s="6">
        <v>1999.0</v>
      </c>
      <c r="B442" s="3">
        <v>1676.0</v>
      </c>
      <c r="C442" s="6">
        <f t="shared" si="1"/>
        <v>9447.148728</v>
      </c>
      <c r="D442" s="3">
        <v>0.79624</v>
      </c>
      <c r="E442" s="6">
        <v>277993.0</v>
      </c>
      <c r="F442" s="6">
        <v>0.0</v>
      </c>
      <c r="G442" s="6">
        <v>4.3</v>
      </c>
      <c r="H442" s="7">
        <v>15.0</v>
      </c>
      <c r="I442" s="3">
        <v>11864.7</v>
      </c>
      <c r="J442" s="3">
        <v>1862.7</v>
      </c>
      <c r="K442" s="3">
        <v>11623.14</v>
      </c>
      <c r="L442" s="8">
        <v>11744.0</v>
      </c>
      <c r="M442" s="3">
        <v>10528.6572265625</v>
      </c>
    </row>
    <row r="443" ht="12.0" customHeight="1">
      <c r="A443" s="6">
        <v>1999.25</v>
      </c>
      <c r="B443" s="3">
        <v>1703.7</v>
      </c>
      <c r="C443" s="6">
        <f t="shared" si="1"/>
        <v>9556.960875</v>
      </c>
      <c r="D443" s="3">
        <v>0.79891</v>
      </c>
      <c r="E443" s="6">
        <v>278723.0</v>
      </c>
      <c r="F443" s="6">
        <v>0.0</v>
      </c>
      <c r="G443" s="6">
        <v>4.3</v>
      </c>
      <c r="H443" s="7">
        <v>0.0</v>
      </c>
      <c r="I443" s="3">
        <v>11962.5</v>
      </c>
      <c r="J443" s="3">
        <v>1882.8</v>
      </c>
      <c r="K443" s="3">
        <v>11703.43</v>
      </c>
      <c r="L443" s="8">
        <v>11843.0</v>
      </c>
      <c r="M443" s="3">
        <v>10599.7451171875</v>
      </c>
    </row>
    <row r="444" ht="12.0" customHeight="1">
      <c r="A444" s="6">
        <v>1999.5</v>
      </c>
      <c r="B444" s="3">
        <v>1740.2</v>
      </c>
      <c r="C444" s="6">
        <f t="shared" si="1"/>
        <v>9712.28358</v>
      </c>
      <c r="D444" s="3">
        <v>0.8018</v>
      </c>
      <c r="E444" s="6">
        <v>279600.0</v>
      </c>
      <c r="F444" s="6">
        <v>0.0</v>
      </c>
      <c r="G444" s="6">
        <v>4.2</v>
      </c>
      <c r="H444" s="7">
        <v>0.0</v>
      </c>
      <c r="I444" s="3">
        <v>12113.1</v>
      </c>
      <c r="J444" s="3">
        <v>1914.0</v>
      </c>
      <c r="K444" s="3">
        <v>11783.94</v>
      </c>
      <c r="L444" s="8">
        <v>11944.0</v>
      </c>
      <c r="M444" s="3">
        <v>10671.3017578125</v>
      </c>
    </row>
    <row r="445" ht="12.0" customHeight="1">
      <c r="A445" s="6">
        <v>1999.75</v>
      </c>
      <c r="B445" s="3">
        <v>1784.2</v>
      </c>
      <c r="C445" s="6">
        <f t="shared" si="1"/>
        <v>9926.048451</v>
      </c>
      <c r="D445" s="3">
        <v>0.80547</v>
      </c>
      <c r="E445" s="6">
        <v>280463.0</v>
      </c>
      <c r="F445" s="6">
        <v>0.0</v>
      </c>
      <c r="G445" s="6">
        <v>4.1</v>
      </c>
      <c r="H445" s="7">
        <v>0.0</v>
      </c>
      <c r="I445" s="3">
        <v>12323.3</v>
      </c>
      <c r="J445" s="3">
        <v>1962.2</v>
      </c>
      <c r="K445" s="3">
        <v>11864.46</v>
      </c>
      <c r="L445" s="8">
        <v>12045.0</v>
      </c>
      <c r="M445" s="3">
        <v>10743.3427734375</v>
      </c>
    </row>
    <row r="446" ht="12.0" customHeight="1">
      <c r="A446" s="6">
        <v>2000.0</v>
      </c>
      <c r="B446" s="3">
        <v>1795.1</v>
      </c>
      <c r="C446" s="6">
        <f t="shared" si="1"/>
        <v>10031.01633</v>
      </c>
      <c r="D446" s="3">
        <v>0.81163</v>
      </c>
      <c r="E446" s="6">
        <v>281192.0</v>
      </c>
      <c r="F446" s="6">
        <v>0.0</v>
      </c>
      <c r="G446" s="6">
        <v>4.0</v>
      </c>
      <c r="H446" s="7">
        <v>0.0</v>
      </c>
      <c r="I446" s="3">
        <v>12359.1</v>
      </c>
      <c r="J446" s="3">
        <v>2044.2</v>
      </c>
      <c r="K446" s="3">
        <v>11945.2</v>
      </c>
      <c r="L446" s="8">
        <v>12146.0</v>
      </c>
      <c r="M446" s="3">
        <v>10826.34375</v>
      </c>
    </row>
    <row r="447" ht="12.0" customHeight="1">
      <c r="A447" s="6">
        <v>2000.25</v>
      </c>
      <c r="B447" s="3">
        <v>1828.9</v>
      </c>
      <c r="C447" s="6">
        <f t="shared" si="1"/>
        <v>10278.37628</v>
      </c>
      <c r="D447" s="3">
        <v>0.81623</v>
      </c>
      <c r="E447" s="6">
        <v>281885.0</v>
      </c>
      <c r="F447" s="6">
        <v>0.0</v>
      </c>
      <c r="G447" s="6">
        <v>3.9</v>
      </c>
      <c r="H447" s="7">
        <v>0.0</v>
      </c>
      <c r="I447" s="3">
        <v>12592.5</v>
      </c>
      <c r="J447" s="3">
        <v>2057.3</v>
      </c>
      <c r="K447" s="3">
        <v>12025.86</v>
      </c>
      <c r="L447" s="8">
        <v>12253.0</v>
      </c>
      <c r="M447" s="3">
        <v>10909.9765625</v>
      </c>
    </row>
    <row r="448" ht="12.0" customHeight="1">
      <c r="A448" s="6">
        <v>2000.5</v>
      </c>
      <c r="B448" s="3">
        <v>1845.0</v>
      </c>
      <c r="C448" s="6">
        <f t="shared" si="1"/>
        <v>10357.4777</v>
      </c>
      <c r="D448" s="3">
        <v>0.82152</v>
      </c>
      <c r="E448" s="6">
        <v>282657.0</v>
      </c>
      <c r="F448" s="6">
        <v>0.0</v>
      </c>
      <c r="G448" s="6">
        <v>4.0</v>
      </c>
      <c r="H448" s="7">
        <v>0.0</v>
      </c>
      <c r="I448" s="3">
        <v>12607.7</v>
      </c>
      <c r="J448" s="3">
        <v>2076.3</v>
      </c>
      <c r="K448" s="3">
        <v>12106.8</v>
      </c>
      <c r="L448" s="8">
        <v>12362.0</v>
      </c>
      <c r="M448" s="3">
        <v>10994.2548828125</v>
      </c>
    </row>
    <row r="449" ht="12.0" customHeight="1">
      <c r="A449" s="6">
        <v>2000.75</v>
      </c>
      <c r="B449" s="3">
        <v>1868.7</v>
      </c>
      <c r="C449" s="6">
        <f t="shared" si="1"/>
        <v>10472.21425</v>
      </c>
      <c r="D449" s="3">
        <v>0.82593</v>
      </c>
      <c r="E449" s="6">
        <v>283450.0</v>
      </c>
      <c r="F449" s="6">
        <v>0.0</v>
      </c>
      <c r="G449" s="6">
        <v>3.9</v>
      </c>
      <c r="H449" s="7">
        <v>0.0</v>
      </c>
      <c r="I449" s="3">
        <v>12679.3</v>
      </c>
      <c r="J449" s="3">
        <v>2094.9</v>
      </c>
      <c r="K449" s="3">
        <v>12187.76</v>
      </c>
      <c r="L449" s="8">
        <v>12474.0</v>
      </c>
      <c r="M449" s="3">
        <v>11079.1943359375</v>
      </c>
    </row>
    <row r="450" ht="12.0" customHeight="1">
      <c r="A450" s="6">
        <v>2001.0</v>
      </c>
      <c r="B450" s="3">
        <v>1911.9</v>
      </c>
      <c r="C450" s="6">
        <f t="shared" si="1"/>
        <v>10508.0995</v>
      </c>
      <c r="D450" s="3">
        <v>0.83112</v>
      </c>
      <c r="E450" s="6">
        <v>284136.0</v>
      </c>
      <c r="F450" s="6">
        <v>0.0</v>
      </c>
      <c r="G450" s="6">
        <v>4.2</v>
      </c>
      <c r="H450" s="7">
        <v>0.0</v>
      </c>
      <c r="I450" s="3">
        <v>12643.3</v>
      </c>
      <c r="J450" s="3">
        <v>2113.8</v>
      </c>
      <c r="K450" s="3">
        <v>12268.85</v>
      </c>
      <c r="L450" s="8">
        <v>12590.0</v>
      </c>
      <c r="M450" s="3">
        <v>11168.208984375</v>
      </c>
    </row>
    <row r="451" ht="12.0" customHeight="1">
      <c r="A451" s="6">
        <v>2001.25</v>
      </c>
      <c r="B451" s="3">
        <v>1958.6</v>
      </c>
      <c r="C451" s="6">
        <f t="shared" si="1"/>
        <v>10638.394</v>
      </c>
      <c r="D451" s="3">
        <v>0.83699</v>
      </c>
      <c r="E451" s="6">
        <v>284818.0</v>
      </c>
      <c r="F451" s="6">
        <v>1.0</v>
      </c>
      <c r="G451" s="6">
        <v>4.4</v>
      </c>
      <c r="H451" s="7">
        <v>0.0</v>
      </c>
      <c r="I451" s="3">
        <v>12710.3</v>
      </c>
      <c r="J451" s="3">
        <v>2098.2</v>
      </c>
      <c r="K451" s="3">
        <v>12349.83</v>
      </c>
      <c r="L451" s="8">
        <v>12706.0</v>
      </c>
      <c r="M451" s="3">
        <v>11257.9384765625</v>
      </c>
    </row>
    <row r="452" ht="12.0" customHeight="1">
      <c r="A452" s="6">
        <v>2001.5</v>
      </c>
      <c r="B452" s="3">
        <v>1965.5</v>
      </c>
      <c r="C452" s="6">
        <f t="shared" si="1"/>
        <v>10639.46307</v>
      </c>
      <c r="D452" s="3">
        <v>0.83973</v>
      </c>
      <c r="E452" s="6">
        <v>285574.0</v>
      </c>
      <c r="F452" s="6">
        <v>1.0</v>
      </c>
      <c r="G452" s="6">
        <v>4.8</v>
      </c>
      <c r="H452" s="7">
        <v>97.1</v>
      </c>
      <c r="I452" s="3">
        <v>12670.1</v>
      </c>
      <c r="J452" s="3">
        <v>1907.0</v>
      </c>
      <c r="K452" s="3">
        <v>12430.94</v>
      </c>
      <c r="L452" s="8">
        <v>12822.0</v>
      </c>
      <c r="M452" s="3">
        <v>11348.3779296875</v>
      </c>
    </row>
    <row r="453" ht="12.0" customHeight="1">
      <c r="A453" s="6">
        <v>2001.75</v>
      </c>
      <c r="B453" s="3">
        <v>1999.1</v>
      </c>
      <c r="C453" s="6">
        <f t="shared" si="1"/>
        <v>10701.29303</v>
      </c>
      <c r="D453" s="3">
        <v>0.84227</v>
      </c>
      <c r="E453" s="6">
        <v>286336.0</v>
      </c>
      <c r="F453" s="6">
        <v>1.0</v>
      </c>
      <c r="G453" s="6">
        <v>5.5</v>
      </c>
      <c r="H453" s="7">
        <v>0.0</v>
      </c>
      <c r="I453" s="3">
        <v>12705.3</v>
      </c>
      <c r="J453" s="3">
        <v>2008.3</v>
      </c>
      <c r="K453" s="3">
        <v>12512.11</v>
      </c>
      <c r="L453" s="8">
        <v>12936.0</v>
      </c>
      <c r="M453" s="3">
        <v>11439.5556640625</v>
      </c>
    </row>
    <row r="454" ht="12.0" customHeight="1">
      <c r="A454" s="6">
        <v>2002.0</v>
      </c>
      <c r="B454" s="3">
        <v>2048.3</v>
      </c>
      <c r="C454" s="6">
        <f t="shared" si="1"/>
        <v>10834.45883</v>
      </c>
      <c r="D454" s="3">
        <v>0.84497</v>
      </c>
      <c r="E454" s="6">
        <v>286991.0</v>
      </c>
      <c r="F454" s="6">
        <v>0.0</v>
      </c>
      <c r="G454" s="6">
        <v>5.7</v>
      </c>
      <c r="H454" s="7">
        <v>296.3</v>
      </c>
      <c r="I454" s="3">
        <v>12822.3</v>
      </c>
      <c r="J454" s="3">
        <v>1867.9</v>
      </c>
      <c r="K454" s="3">
        <v>12593.18</v>
      </c>
      <c r="L454" s="8">
        <v>13045.0</v>
      </c>
      <c r="M454" s="3">
        <v>11534.6767578125</v>
      </c>
    </row>
    <row r="455" ht="12.0" customHeight="1">
      <c r="A455" s="6">
        <v>2002.25</v>
      </c>
      <c r="B455" s="3">
        <v>2080.6</v>
      </c>
      <c r="C455" s="6">
        <f t="shared" si="1"/>
        <v>10934.81116</v>
      </c>
      <c r="D455" s="3">
        <v>0.84812</v>
      </c>
      <c r="E455" s="6">
        <v>287628.0</v>
      </c>
      <c r="F455" s="6">
        <v>0.0</v>
      </c>
      <c r="G455" s="6">
        <v>5.8</v>
      </c>
      <c r="H455" s="7">
        <v>0.0</v>
      </c>
      <c r="I455" s="3">
        <v>12893.0</v>
      </c>
      <c r="J455" s="3">
        <v>1868.5</v>
      </c>
      <c r="K455" s="3">
        <v>12674.23</v>
      </c>
      <c r="L455" s="8">
        <v>13151.0</v>
      </c>
      <c r="M455" s="3">
        <v>11630.58984375</v>
      </c>
    </row>
    <row r="456" ht="12.0" customHeight="1">
      <c r="A456" s="6">
        <v>2002.5</v>
      </c>
      <c r="B456" s="3">
        <v>2107.7</v>
      </c>
      <c r="C456" s="6">
        <f t="shared" si="1"/>
        <v>11037.04602</v>
      </c>
      <c r="D456" s="3">
        <v>0.8519</v>
      </c>
      <c r="E456" s="6">
        <v>288361.0</v>
      </c>
      <c r="F456" s="6">
        <v>0.0</v>
      </c>
      <c r="G456" s="6">
        <v>5.7</v>
      </c>
      <c r="H456" s="7">
        <v>93.0</v>
      </c>
      <c r="I456" s="3">
        <v>12955.8</v>
      </c>
      <c r="J456" s="3">
        <v>1869.0</v>
      </c>
      <c r="K456" s="3">
        <v>12755.32</v>
      </c>
      <c r="L456" s="8">
        <v>13255.0</v>
      </c>
      <c r="M456" s="3">
        <v>11727.2998046875</v>
      </c>
    </row>
    <row r="457" ht="12.0" customHeight="1">
      <c r="A457" s="6">
        <v>2002.75</v>
      </c>
      <c r="B457" s="3">
        <v>2143.1</v>
      </c>
      <c r="C457" s="6">
        <f t="shared" si="1"/>
        <v>11103.79564</v>
      </c>
      <c r="D457" s="3">
        <v>0.85651</v>
      </c>
      <c r="E457" s="6">
        <v>289096.0</v>
      </c>
      <c r="F457" s="6">
        <v>0.0</v>
      </c>
      <c r="G457" s="6">
        <v>5.9</v>
      </c>
      <c r="H457" s="7">
        <v>0.0</v>
      </c>
      <c r="I457" s="3">
        <v>12964.0</v>
      </c>
      <c r="J457" s="3">
        <v>1877.1</v>
      </c>
      <c r="K457" s="3">
        <v>12836.28</v>
      </c>
      <c r="L457" s="8">
        <v>13356.0</v>
      </c>
      <c r="M457" s="3">
        <v>11824.8134765625</v>
      </c>
    </row>
    <row r="458" ht="12.0" customHeight="1">
      <c r="A458" s="6">
        <v>2003.0</v>
      </c>
      <c r="B458" s="3">
        <v>2178.0</v>
      </c>
      <c r="C458" s="6">
        <f t="shared" si="1"/>
        <v>11230.15785</v>
      </c>
      <c r="D458" s="3">
        <v>0.86179</v>
      </c>
      <c r="E458" s="6">
        <v>289714.0</v>
      </c>
      <c r="F458" s="6">
        <v>0.0</v>
      </c>
      <c r="G458" s="6">
        <v>5.9</v>
      </c>
      <c r="H458" s="7">
        <v>123.8</v>
      </c>
      <c r="I458" s="3">
        <v>13031.2</v>
      </c>
      <c r="J458" s="3">
        <v>1890.1</v>
      </c>
      <c r="K458" s="3">
        <v>12917.13</v>
      </c>
      <c r="L458" s="8">
        <v>13454.0</v>
      </c>
      <c r="M458" s="3">
        <v>11919.5458984375</v>
      </c>
    </row>
    <row r="459" ht="12.0" customHeight="1">
      <c r="A459" s="6">
        <v>2003.25</v>
      </c>
      <c r="B459" s="3">
        <v>2216.9</v>
      </c>
      <c r="C459" s="6">
        <f t="shared" si="1"/>
        <v>11370.64806</v>
      </c>
      <c r="D459" s="3">
        <v>0.86455</v>
      </c>
      <c r="E459" s="6">
        <v>290352.0</v>
      </c>
      <c r="F459" s="6">
        <v>0.0</v>
      </c>
      <c r="G459" s="6">
        <v>6.1</v>
      </c>
      <c r="H459" s="7">
        <v>0.0</v>
      </c>
      <c r="I459" s="3">
        <v>13152.1</v>
      </c>
      <c r="J459" s="3">
        <v>1910.8</v>
      </c>
      <c r="K459" s="3">
        <v>12998.04</v>
      </c>
      <c r="L459" s="8">
        <v>13549.0</v>
      </c>
      <c r="M459" s="3">
        <v>12015.025390625</v>
      </c>
    </row>
    <row r="460" ht="12.0" customHeight="1">
      <c r="A460" s="6">
        <v>2003.5</v>
      </c>
      <c r="B460" s="3">
        <v>2231.2</v>
      </c>
      <c r="C460" s="6">
        <f t="shared" si="1"/>
        <v>11625.16222</v>
      </c>
      <c r="D460" s="3">
        <v>0.86934</v>
      </c>
      <c r="E460" s="6">
        <v>291071.0</v>
      </c>
      <c r="F460" s="6">
        <v>0.0</v>
      </c>
      <c r="G460" s="6">
        <v>6.1</v>
      </c>
      <c r="H460" s="7">
        <v>41.0</v>
      </c>
      <c r="I460" s="3">
        <v>13372.4</v>
      </c>
      <c r="J460" s="3">
        <v>1840.0</v>
      </c>
      <c r="K460" s="3">
        <v>13078.71</v>
      </c>
      <c r="L460" s="8">
        <v>13641.0</v>
      </c>
      <c r="M460" s="3">
        <v>12111.2705078125</v>
      </c>
    </row>
    <row r="461" ht="12.0" customHeight="1">
      <c r="A461" s="6">
        <v>2003.75</v>
      </c>
      <c r="B461" s="3">
        <v>2257.3</v>
      </c>
      <c r="C461" s="6">
        <f t="shared" si="1"/>
        <v>11816.7783</v>
      </c>
      <c r="D461" s="3">
        <v>0.87346</v>
      </c>
      <c r="E461" s="6">
        <v>291796.0</v>
      </c>
      <c r="F461" s="6">
        <v>0.0</v>
      </c>
      <c r="G461" s="6">
        <v>5.8</v>
      </c>
      <c r="H461" s="7">
        <v>78.2</v>
      </c>
      <c r="I461" s="3">
        <v>13528.7</v>
      </c>
      <c r="J461" s="3">
        <v>1939.3</v>
      </c>
      <c r="K461" s="3">
        <v>13159.32</v>
      </c>
      <c r="L461" s="8">
        <v>13730.0</v>
      </c>
      <c r="M461" s="3">
        <v>12208.296875</v>
      </c>
    </row>
    <row r="462" ht="12.0" customHeight="1">
      <c r="A462" s="6">
        <v>2004.0</v>
      </c>
      <c r="B462" s="3">
        <v>2303.1</v>
      </c>
      <c r="C462" s="6">
        <f t="shared" si="1"/>
        <v>11988.41502</v>
      </c>
      <c r="D462" s="3">
        <v>0.88108</v>
      </c>
      <c r="E462" s="6">
        <v>292374.0</v>
      </c>
      <c r="F462" s="6">
        <v>0.0</v>
      </c>
      <c r="G462" s="6">
        <v>5.7</v>
      </c>
      <c r="H462" s="7">
        <v>0.0</v>
      </c>
      <c r="I462" s="3">
        <v>13606.5</v>
      </c>
      <c r="J462" s="3">
        <v>1952.7</v>
      </c>
      <c r="K462" s="3">
        <v>13239.75</v>
      </c>
      <c r="L462" s="8">
        <v>13817.0</v>
      </c>
      <c r="M462" s="3">
        <v>12303.00390625</v>
      </c>
    </row>
    <row r="463" ht="12.0" customHeight="1">
      <c r="A463" s="6">
        <v>2004.25</v>
      </c>
      <c r="B463" s="3">
        <v>2343.6</v>
      </c>
      <c r="C463" s="6">
        <f t="shared" si="1"/>
        <v>12181.38525</v>
      </c>
      <c r="D463" s="3">
        <v>0.88875</v>
      </c>
      <c r="E463" s="6">
        <v>293000.0</v>
      </c>
      <c r="F463" s="6">
        <v>0.0</v>
      </c>
      <c r="G463" s="6">
        <v>5.6</v>
      </c>
      <c r="H463" s="7">
        <v>25.0</v>
      </c>
      <c r="I463" s="3">
        <v>13706.2</v>
      </c>
      <c r="J463" s="3">
        <v>2003.3</v>
      </c>
      <c r="K463" s="3">
        <v>13319.91</v>
      </c>
      <c r="L463" s="8">
        <v>13901.0</v>
      </c>
      <c r="M463" s="3">
        <v>12398.43359375</v>
      </c>
    </row>
    <row r="464" ht="12.0" customHeight="1">
      <c r="A464" s="6">
        <v>2004.5</v>
      </c>
      <c r="B464" s="3">
        <v>2381.8</v>
      </c>
      <c r="C464" s="6">
        <f t="shared" si="1"/>
        <v>12367.77798</v>
      </c>
      <c r="D464" s="3">
        <v>0.89422</v>
      </c>
      <c r="E464" s="6">
        <v>293718.0</v>
      </c>
      <c r="F464" s="6">
        <v>0.0</v>
      </c>
      <c r="G464" s="6">
        <v>5.4</v>
      </c>
      <c r="H464" s="7">
        <v>0.0</v>
      </c>
      <c r="I464" s="3">
        <v>13830.8</v>
      </c>
      <c r="J464" s="3">
        <v>2062.3</v>
      </c>
      <c r="K464" s="3">
        <v>13399.96</v>
      </c>
      <c r="L464" s="8">
        <v>13984.0</v>
      </c>
      <c r="M464" s="3">
        <v>12494.615234375</v>
      </c>
    </row>
    <row r="465" ht="12.0" customHeight="1">
      <c r="A465" s="6">
        <v>2004.75</v>
      </c>
      <c r="B465" s="3">
        <v>2401.2</v>
      </c>
      <c r="C465" s="6">
        <f t="shared" si="1"/>
        <v>12562.1957</v>
      </c>
      <c r="D465" s="3">
        <v>0.90049</v>
      </c>
      <c r="E465" s="6">
        <v>294463.0</v>
      </c>
      <c r="F465" s="6">
        <v>0.0</v>
      </c>
      <c r="G465" s="6">
        <v>5.4</v>
      </c>
      <c r="H465" s="7">
        <v>0.0</v>
      </c>
      <c r="I465" s="3">
        <v>13950.4</v>
      </c>
      <c r="J465" s="3">
        <v>2091.3</v>
      </c>
      <c r="K465" s="3">
        <v>13479.75</v>
      </c>
      <c r="L465" s="8">
        <v>14066.0</v>
      </c>
      <c r="M465" s="3">
        <v>12591.54296875</v>
      </c>
    </row>
    <row r="466" ht="12.0" customHeight="1">
      <c r="A466" s="6">
        <v>2005.0</v>
      </c>
      <c r="B466" s="3">
        <v>2442.2</v>
      </c>
      <c r="C466" s="6">
        <f t="shared" si="1"/>
        <v>12813.68505</v>
      </c>
      <c r="D466" s="3">
        <v>0.90883</v>
      </c>
      <c r="E466" s="6">
        <v>295102.0</v>
      </c>
      <c r="F466" s="6">
        <v>0.0</v>
      </c>
      <c r="G466" s="6">
        <v>5.3</v>
      </c>
      <c r="H466" s="7">
        <v>100.0</v>
      </c>
      <c r="I466" s="3">
        <v>14099.1</v>
      </c>
      <c r="J466" s="3">
        <v>2244.0</v>
      </c>
      <c r="K466" s="3">
        <v>13559.35</v>
      </c>
      <c r="L466" s="8">
        <v>14150.0</v>
      </c>
      <c r="M466" s="3">
        <v>12685.4345703125</v>
      </c>
    </row>
    <row r="467" ht="12.0" customHeight="1">
      <c r="A467" s="6">
        <v>2005.25</v>
      </c>
      <c r="B467" s="3">
        <v>2469.7</v>
      </c>
      <c r="C467" s="6">
        <f t="shared" si="1"/>
        <v>12974.11476</v>
      </c>
      <c r="D467" s="3">
        <v>0.91543</v>
      </c>
      <c r="E467" s="6">
        <v>295710.0</v>
      </c>
      <c r="F467" s="6">
        <v>0.0</v>
      </c>
      <c r="G467" s="6">
        <v>5.1</v>
      </c>
      <c r="H467" s="7">
        <v>0.0</v>
      </c>
      <c r="I467" s="3">
        <v>14172.7</v>
      </c>
      <c r="J467" s="3">
        <v>2272.2</v>
      </c>
      <c r="K467" s="3">
        <v>13638.6</v>
      </c>
      <c r="L467" s="8">
        <v>14234.0</v>
      </c>
      <c r="M467" s="3">
        <v>12780.02734375</v>
      </c>
    </row>
    <row r="468" ht="12.0" customHeight="1">
      <c r="A468" s="6">
        <v>2005.5</v>
      </c>
      <c r="B468" s="3">
        <v>2521.6</v>
      </c>
      <c r="C468" s="6">
        <f t="shared" si="1"/>
        <v>13205.48028</v>
      </c>
      <c r="D468" s="3">
        <v>0.92399</v>
      </c>
      <c r="E468" s="6">
        <v>296444.0</v>
      </c>
      <c r="F468" s="6">
        <v>0.0</v>
      </c>
      <c r="G468" s="6">
        <v>5.0</v>
      </c>
      <c r="H468" s="7">
        <v>0.0</v>
      </c>
      <c r="I468" s="3">
        <v>14291.8</v>
      </c>
      <c r="J468" s="3">
        <v>2316.6</v>
      </c>
      <c r="K468" s="3">
        <v>13717.49</v>
      </c>
      <c r="L468" s="8">
        <v>14319.0</v>
      </c>
      <c r="M468" s="3">
        <v>12875.3251953125</v>
      </c>
    </row>
    <row r="469" ht="12.0" customHeight="1">
      <c r="A469" s="6">
        <v>2005.75</v>
      </c>
      <c r="B469" s="3">
        <v>2541.3</v>
      </c>
      <c r="C469" s="6">
        <f t="shared" si="1"/>
        <v>13381.6354</v>
      </c>
      <c r="D469" s="3">
        <v>0.931</v>
      </c>
      <c r="E469" s="6">
        <v>297203.0</v>
      </c>
      <c r="F469" s="6">
        <v>0.0</v>
      </c>
      <c r="G469" s="6">
        <v>5.0</v>
      </c>
      <c r="H469" s="7">
        <v>0.0</v>
      </c>
      <c r="I469" s="3">
        <v>14373.4</v>
      </c>
      <c r="J469" s="3">
        <v>2381.3</v>
      </c>
      <c r="K469" s="3">
        <v>13796.26</v>
      </c>
      <c r="L469" s="8">
        <v>14405.0</v>
      </c>
      <c r="M469" s="3">
        <v>12971.333984375</v>
      </c>
    </row>
    <row r="470" ht="12.0" customHeight="1">
      <c r="A470" s="6">
        <v>2006.0</v>
      </c>
      <c r="B470" s="3">
        <v>2592.2</v>
      </c>
      <c r="C470" s="6">
        <f t="shared" si="1"/>
        <v>13648.89655</v>
      </c>
      <c r="D470" s="3">
        <v>0.93832</v>
      </c>
      <c r="E470" s="6">
        <v>297854.0</v>
      </c>
      <c r="F470" s="6">
        <v>0.0</v>
      </c>
      <c r="G470" s="6">
        <v>4.7</v>
      </c>
      <c r="H470" s="7">
        <v>0.0</v>
      </c>
      <c r="I470" s="3">
        <v>14546.1</v>
      </c>
      <c r="J470" s="3">
        <v>2484.1</v>
      </c>
      <c r="K470" s="3">
        <v>13874.52</v>
      </c>
      <c r="L470" s="8">
        <v>14492.0</v>
      </c>
      <c r="M470" s="3">
        <v>13061.2431640625</v>
      </c>
    </row>
    <row r="471" ht="12.0" customHeight="1">
      <c r="A471" s="6">
        <v>2006.25</v>
      </c>
      <c r="B471" s="3">
        <v>2630.7</v>
      </c>
      <c r="C471" s="6">
        <f t="shared" si="1"/>
        <v>13799.86495</v>
      </c>
      <c r="D471" s="3">
        <v>0.94587</v>
      </c>
      <c r="E471" s="6">
        <v>298505.0</v>
      </c>
      <c r="F471" s="6">
        <v>0.0</v>
      </c>
      <c r="G471" s="6">
        <v>4.6</v>
      </c>
      <c r="H471" s="7">
        <v>227.7</v>
      </c>
      <c r="I471" s="3">
        <v>14589.6</v>
      </c>
      <c r="J471" s="3">
        <v>2518.7</v>
      </c>
      <c r="K471" s="3">
        <v>13952.4</v>
      </c>
      <c r="L471" s="8">
        <v>14581.0</v>
      </c>
      <c r="M471" s="3">
        <v>13151.775390625</v>
      </c>
    </row>
    <row r="472" ht="12.0" customHeight="1">
      <c r="A472" s="6">
        <v>2006.5</v>
      </c>
      <c r="B472" s="3">
        <v>2655.4</v>
      </c>
      <c r="C472" s="6">
        <f t="shared" si="1"/>
        <v>13908.53842</v>
      </c>
      <c r="D472" s="3">
        <v>0.95247</v>
      </c>
      <c r="E472" s="6">
        <v>299271.0</v>
      </c>
      <c r="F472" s="6">
        <v>0.0</v>
      </c>
      <c r="G472" s="6">
        <v>4.6</v>
      </c>
      <c r="H472" s="7">
        <v>0.0</v>
      </c>
      <c r="I472" s="3">
        <v>14602.6</v>
      </c>
      <c r="J472" s="3">
        <v>2561.8</v>
      </c>
      <c r="K472" s="3">
        <v>14030.01</v>
      </c>
      <c r="L472" s="8">
        <v>14669.0</v>
      </c>
      <c r="M472" s="3">
        <v>13242.935546875</v>
      </c>
    </row>
    <row r="473" ht="12.0" customHeight="1">
      <c r="A473" s="6">
        <v>2006.75</v>
      </c>
      <c r="B473" s="3">
        <v>2690.6</v>
      </c>
      <c r="C473" s="6">
        <f t="shared" si="1"/>
        <v>14066.41302</v>
      </c>
      <c r="D473" s="3">
        <v>0.9558</v>
      </c>
      <c r="E473" s="6">
        <v>300090.0</v>
      </c>
      <c r="F473" s="6">
        <v>0.0</v>
      </c>
      <c r="G473" s="6">
        <v>4.4</v>
      </c>
      <c r="H473" s="7">
        <v>0.0</v>
      </c>
      <c r="I473" s="3">
        <v>14716.9</v>
      </c>
      <c r="J473" s="3">
        <v>2586.4</v>
      </c>
      <c r="K473" s="3">
        <v>14107.01</v>
      </c>
      <c r="L473" s="8">
        <v>14757.0</v>
      </c>
      <c r="M473" s="3">
        <v>13334.7275390625</v>
      </c>
    </row>
    <row r="474" ht="12.0" customHeight="1">
      <c r="A474" s="6">
        <v>2007.0</v>
      </c>
      <c r="B474" s="3">
        <v>2735.6</v>
      </c>
      <c r="C474" s="6">
        <f t="shared" si="1"/>
        <v>14233.26804</v>
      </c>
      <c r="D474" s="3">
        <v>0.96654</v>
      </c>
      <c r="E474" s="6">
        <v>300799.0</v>
      </c>
      <c r="F474" s="6">
        <v>0.0</v>
      </c>
      <c r="G474" s="6">
        <v>4.5</v>
      </c>
      <c r="H474" s="7">
        <v>0.0</v>
      </c>
      <c r="I474" s="3">
        <v>14726.0</v>
      </c>
      <c r="J474" s="3">
        <v>2660.8</v>
      </c>
      <c r="K474" s="3">
        <v>14183.65</v>
      </c>
      <c r="L474" s="8">
        <v>14841.0</v>
      </c>
      <c r="M474" s="3">
        <v>13415.3798828125</v>
      </c>
    </row>
    <row r="475" ht="12.0" customHeight="1">
      <c r="A475" s="6">
        <v>2007.25</v>
      </c>
      <c r="B475" s="3">
        <v>2782.5</v>
      </c>
      <c r="C475" s="6">
        <f t="shared" si="1"/>
        <v>14422.32608</v>
      </c>
      <c r="D475" s="3">
        <v>0.97194</v>
      </c>
      <c r="E475" s="6">
        <v>301492.0</v>
      </c>
      <c r="F475" s="6">
        <v>0.0</v>
      </c>
      <c r="G475" s="6">
        <v>4.5</v>
      </c>
      <c r="H475" s="7">
        <v>0.0</v>
      </c>
      <c r="I475" s="3">
        <v>14838.7</v>
      </c>
      <c r="J475" s="3">
        <v>2674.9</v>
      </c>
      <c r="K475" s="3">
        <v>14259.82</v>
      </c>
      <c r="L475" s="8">
        <v>14922.0</v>
      </c>
      <c r="M475" s="3">
        <v>13496.51953125</v>
      </c>
    </row>
    <row r="476" ht="12.0" customHeight="1">
      <c r="A476" s="6">
        <v>2007.5</v>
      </c>
      <c r="B476" s="3">
        <v>2824.3</v>
      </c>
      <c r="C476" s="6">
        <f t="shared" si="1"/>
        <v>14569.66844</v>
      </c>
      <c r="D476" s="3">
        <v>0.97531</v>
      </c>
      <c r="E476" s="6">
        <v>302272.0</v>
      </c>
      <c r="F476" s="6">
        <v>0.0</v>
      </c>
      <c r="G476" s="6">
        <v>4.7</v>
      </c>
      <c r="H476" s="7">
        <v>0.0</v>
      </c>
      <c r="I476" s="3">
        <v>14938.5</v>
      </c>
      <c r="J476" s="3">
        <v>2663.0</v>
      </c>
      <c r="K476" s="3">
        <v>14335.29</v>
      </c>
      <c r="L476" s="8">
        <v>15001.0</v>
      </c>
      <c r="M476" s="3">
        <v>13578.1376953125</v>
      </c>
    </row>
    <row r="477" ht="12.0" customHeight="1">
      <c r="A477" s="6">
        <v>2007.75</v>
      </c>
      <c r="B477" s="3">
        <v>2865.3</v>
      </c>
      <c r="C477" s="6">
        <f t="shared" si="1"/>
        <v>14685.36761</v>
      </c>
      <c r="D477" s="3">
        <v>0.97956</v>
      </c>
      <c r="E477" s="6">
        <v>303049.0</v>
      </c>
      <c r="F477" s="6">
        <v>0.0</v>
      </c>
      <c r="G477" s="6">
        <v>4.8</v>
      </c>
      <c r="H477" s="7">
        <v>739.3</v>
      </c>
      <c r="I477" s="3">
        <v>14991.8</v>
      </c>
      <c r="J477" s="3">
        <v>2669.9</v>
      </c>
      <c r="K477" s="3">
        <v>14410.36</v>
      </c>
      <c r="L477" s="8">
        <v>15076.0</v>
      </c>
      <c r="M477" s="3">
        <v>13660.2626953125</v>
      </c>
    </row>
    <row r="478" ht="12.0" customHeight="1">
      <c r="A478" s="6">
        <v>2008.0</v>
      </c>
      <c r="B478" s="3">
        <v>2923.8</v>
      </c>
      <c r="C478" s="6">
        <f t="shared" si="1"/>
        <v>14668.53982</v>
      </c>
      <c r="D478" s="3">
        <v>0.98516</v>
      </c>
      <c r="E478" s="6">
        <v>303708.0</v>
      </c>
      <c r="F478" s="6">
        <v>1.0</v>
      </c>
      <c r="G478" s="6">
        <v>5.0</v>
      </c>
      <c r="H478" s="7">
        <v>0.0</v>
      </c>
      <c r="I478" s="3">
        <v>14889.5</v>
      </c>
      <c r="J478" s="3">
        <v>2640.8</v>
      </c>
      <c r="K478" s="3">
        <v>14484.87</v>
      </c>
      <c r="L478" s="8">
        <v>15146.0</v>
      </c>
      <c r="M478" s="3">
        <v>13734.2626953125</v>
      </c>
    </row>
    <row r="479" ht="12.0" customHeight="1">
      <c r="A479" s="6">
        <v>2008.25</v>
      </c>
      <c r="B479" s="3">
        <v>2983.4</v>
      </c>
      <c r="C479" s="6">
        <f t="shared" si="1"/>
        <v>14813.01783</v>
      </c>
      <c r="D479" s="3">
        <v>0.98995</v>
      </c>
      <c r="E479" s="6">
        <v>304332.0</v>
      </c>
      <c r="F479" s="6">
        <v>1.0</v>
      </c>
      <c r="G479" s="6">
        <v>5.3</v>
      </c>
      <c r="H479" s="7">
        <v>0.0</v>
      </c>
      <c r="I479" s="3">
        <v>14963.4</v>
      </c>
      <c r="J479" s="3">
        <v>2621.4</v>
      </c>
      <c r="K479" s="3">
        <v>14558.76</v>
      </c>
      <c r="L479" s="8">
        <v>15215.0</v>
      </c>
      <c r="M479" s="3">
        <v>13808.6640625</v>
      </c>
    </row>
    <row r="480" ht="12.0" customHeight="1">
      <c r="A480" s="6">
        <v>2008.5</v>
      </c>
      <c r="B480" s="3">
        <v>3055.9</v>
      </c>
      <c r="C480" s="6">
        <f t="shared" si="1"/>
        <v>14842.90447</v>
      </c>
      <c r="D480" s="3">
        <v>0.99673</v>
      </c>
      <c r="E480" s="6">
        <v>305051.0</v>
      </c>
      <c r="F480" s="6">
        <v>1.0</v>
      </c>
      <c r="G480" s="6">
        <v>6.0</v>
      </c>
      <c r="H480" s="7">
        <v>0.0</v>
      </c>
      <c r="I480" s="3">
        <v>14891.6</v>
      </c>
      <c r="J480" s="3">
        <v>2571.3</v>
      </c>
      <c r="K480" s="3">
        <v>14631.89</v>
      </c>
      <c r="L480" s="8">
        <v>15280.0</v>
      </c>
      <c r="M480" s="3">
        <v>13883.4677734375</v>
      </c>
    </row>
    <row r="481" ht="12.0" customHeight="1">
      <c r="A481" s="6">
        <v>2008.75</v>
      </c>
      <c r="B481" s="3">
        <v>3049.7</v>
      </c>
      <c r="C481" s="6">
        <f t="shared" si="1"/>
        <v>14550.03401</v>
      </c>
      <c r="D481" s="3">
        <v>0.9981501</v>
      </c>
      <c r="E481" s="6">
        <v>305781.0</v>
      </c>
      <c r="F481" s="6">
        <v>1.0</v>
      </c>
      <c r="G481" s="6">
        <v>6.9</v>
      </c>
      <c r="H481" s="7">
        <v>-243.6</v>
      </c>
      <c r="I481" s="3">
        <v>14577.0</v>
      </c>
      <c r="J481" s="3">
        <v>2484.4</v>
      </c>
      <c r="K481" s="3">
        <v>14704.36</v>
      </c>
      <c r="L481" s="8">
        <v>15341.0</v>
      </c>
      <c r="M481" s="3">
        <v>13958.677734375</v>
      </c>
    </row>
    <row r="482" ht="12.0" customHeight="1">
      <c r="A482" s="6">
        <v>2009.0</v>
      </c>
      <c r="B482" s="3">
        <v>3035.4</v>
      </c>
      <c r="C482" s="6">
        <f t="shared" si="1"/>
        <v>14383.9125</v>
      </c>
      <c r="D482" s="3">
        <v>1.00062</v>
      </c>
      <c r="E482" s="6">
        <v>306399.0</v>
      </c>
      <c r="F482" s="6">
        <v>1.0</v>
      </c>
      <c r="G482" s="6">
        <v>8.3</v>
      </c>
      <c r="H482" s="7">
        <v>0.0</v>
      </c>
      <c r="I482" s="3">
        <v>14375.0</v>
      </c>
      <c r="J482" s="3">
        <v>2221.7</v>
      </c>
      <c r="K482" s="3">
        <v>14776.14</v>
      </c>
      <c r="L482" s="8">
        <v>15399.0</v>
      </c>
      <c r="M482" s="3">
        <v>14031.884765625</v>
      </c>
    </row>
    <row r="483" ht="12.0" customHeight="1">
      <c r="A483" s="6">
        <v>2009.25</v>
      </c>
      <c r="B483" s="3">
        <v>3086.5</v>
      </c>
      <c r="C483" s="6">
        <f t="shared" si="1"/>
        <v>14340.52518</v>
      </c>
      <c r="D483" s="3">
        <v>0.9989499</v>
      </c>
      <c r="E483" s="6">
        <v>306992.0</v>
      </c>
      <c r="F483" s="6">
        <v>1.0</v>
      </c>
      <c r="G483" s="6">
        <v>9.3</v>
      </c>
      <c r="H483" s="7">
        <v>0.0</v>
      </c>
      <c r="I483" s="3">
        <v>14355.6</v>
      </c>
      <c r="J483" s="3">
        <v>2219.9</v>
      </c>
      <c r="K483" s="3">
        <v>14847.12</v>
      </c>
      <c r="L483" s="8">
        <v>15449.0</v>
      </c>
      <c r="M483" s="3">
        <v>14105.462890625</v>
      </c>
    </row>
    <row r="484" ht="12.0" customHeight="1">
      <c r="A484" s="6">
        <v>2009.5</v>
      </c>
      <c r="B484" s="3">
        <v>3112.5</v>
      </c>
      <c r="C484" s="6">
        <f t="shared" si="1"/>
        <v>14384.20883</v>
      </c>
      <c r="D484" s="3">
        <v>0.99873</v>
      </c>
      <c r="E484" s="6">
        <v>307690.0</v>
      </c>
      <c r="F484" s="6">
        <v>0.0</v>
      </c>
      <c r="G484" s="6">
        <v>9.6</v>
      </c>
      <c r="H484" s="7">
        <v>0.0</v>
      </c>
      <c r="I484" s="3">
        <v>14402.5</v>
      </c>
      <c r="J484" s="3">
        <v>2220.8</v>
      </c>
      <c r="K484" s="3">
        <v>14917.33</v>
      </c>
      <c r="L484" s="8">
        <v>15496.0</v>
      </c>
      <c r="M484" s="3">
        <v>14179.44140625</v>
      </c>
    </row>
    <row r="485" ht="12.0" customHeight="1">
      <c r="A485" s="6">
        <v>2009.75</v>
      </c>
      <c r="B485" s="3">
        <v>3122.0</v>
      </c>
      <c r="C485" s="6">
        <f t="shared" si="1"/>
        <v>14566.47581</v>
      </c>
      <c r="D485" s="3">
        <v>1.00169</v>
      </c>
      <c r="E485" s="6">
        <v>308413.0</v>
      </c>
      <c r="F485" s="6">
        <v>0.0</v>
      </c>
      <c r="G485" s="6">
        <v>9.9</v>
      </c>
      <c r="H485" s="7">
        <v>0.0</v>
      </c>
      <c r="I485" s="3">
        <v>14541.9</v>
      </c>
      <c r="J485" s="3">
        <v>2291.0</v>
      </c>
      <c r="K485" s="3">
        <v>14986.79</v>
      </c>
      <c r="L485" s="8">
        <v>15540.0</v>
      </c>
      <c r="M485" s="3">
        <v>14253.806640625</v>
      </c>
    </row>
    <row r="486" ht="12.0" customHeight="1">
      <c r="A486" s="6">
        <v>2010.0</v>
      </c>
      <c r="B486" s="3">
        <v>3135.7</v>
      </c>
      <c r="C486" s="6">
        <f t="shared" si="1"/>
        <v>14681.03706</v>
      </c>
      <c r="D486" s="3">
        <v>1.00522</v>
      </c>
      <c r="E486" s="6">
        <v>309024.0</v>
      </c>
      <c r="F486" s="6">
        <v>0.0</v>
      </c>
      <c r="G486" s="6">
        <v>9.8</v>
      </c>
      <c r="H486" s="7">
        <v>0.0</v>
      </c>
      <c r="I486" s="3">
        <v>14604.8</v>
      </c>
      <c r="J486" s="3">
        <v>2359.8</v>
      </c>
      <c r="K486" s="3">
        <v>15055.38</v>
      </c>
      <c r="L486" s="8">
        <v>15580.0</v>
      </c>
      <c r="M486" s="3">
        <v>14332.78515625</v>
      </c>
    </row>
    <row r="487" ht="12.0" customHeight="1">
      <c r="A487" s="6">
        <v>2010.25</v>
      </c>
      <c r="B487" s="3">
        <v>3181.5</v>
      </c>
      <c r="C487" s="6">
        <f t="shared" si="1"/>
        <v>14888.64031</v>
      </c>
      <c r="D487" s="3">
        <v>1.00968</v>
      </c>
      <c r="E487" s="6">
        <v>309376.0</v>
      </c>
      <c r="F487" s="6">
        <v>0.0</v>
      </c>
      <c r="G487" s="6">
        <v>9.6</v>
      </c>
      <c r="H487" s="7">
        <v>0.0</v>
      </c>
      <c r="I487" s="3">
        <v>14745.9</v>
      </c>
      <c r="J487" s="3">
        <v>2416.6</v>
      </c>
      <c r="K487" s="3">
        <v>15122.9</v>
      </c>
      <c r="L487" s="8">
        <v>15618.0</v>
      </c>
      <c r="M487" s="3">
        <v>14412.201171875</v>
      </c>
    </row>
    <row r="488" ht="12.0" customHeight="1">
      <c r="A488" s="6">
        <v>2010.5</v>
      </c>
      <c r="B488" s="3">
        <v>3194.7</v>
      </c>
      <c r="C488" s="6">
        <f t="shared" si="1"/>
        <v>15057.6422</v>
      </c>
      <c r="D488" s="3">
        <v>1.01429</v>
      </c>
      <c r="E488" s="6">
        <v>309990.0</v>
      </c>
      <c r="F488" s="6">
        <v>0.0</v>
      </c>
      <c r="G488" s="6">
        <v>9.5</v>
      </c>
      <c r="H488" s="7">
        <v>0.0</v>
      </c>
      <c r="I488" s="3">
        <v>14845.5</v>
      </c>
      <c r="J488" s="3">
        <v>2481.8</v>
      </c>
      <c r="K488" s="3">
        <v>15189.68</v>
      </c>
      <c r="L488" s="8">
        <v>15656.0</v>
      </c>
      <c r="M488" s="3">
        <v>14492.0712890625</v>
      </c>
    </row>
    <row r="489" ht="12.0" customHeight="1">
      <c r="A489" s="6">
        <v>2010.75</v>
      </c>
      <c r="B489" s="3">
        <v>3184.2</v>
      </c>
      <c r="C489" s="6">
        <f t="shared" si="1"/>
        <v>15230.16111</v>
      </c>
      <c r="D489" s="3">
        <v>1.01949</v>
      </c>
      <c r="E489" s="6">
        <v>310653.0</v>
      </c>
      <c r="F489" s="6">
        <v>0.0</v>
      </c>
      <c r="G489" s="6">
        <v>9.5</v>
      </c>
      <c r="H489" s="7">
        <v>-97.8</v>
      </c>
      <c r="I489" s="3">
        <v>14939.0</v>
      </c>
      <c r="J489" s="3">
        <v>2515.0</v>
      </c>
      <c r="K489" s="3">
        <v>15255.38</v>
      </c>
      <c r="L489" s="8">
        <v>15693.0</v>
      </c>
      <c r="M489" s="3">
        <v>14572.37109375</v>
      </c>
    </row>
    <row r="490" ht="12.0" customHeight="1">
      <c r="A490" s="6">
        <f t="shared" ref="A490:A509" si="2"> A489 + 0.25</f>
        <v>2011</v>
      </c>
      <c r="B490" s="3">
        <v>3153.8</v>
      </c>
      <c r="C490" s="6">
        <f t="shared" si="1"/>
        <v>15238.30239</v>
      </c>
      <c r="D490" s="3">
        <v>1.02399</v>
      </c>
      <c r="E490" s="6">
        <v>311203.0</v>
      </c>
      <c r="F490" s="6">
        <v>0.0</v>
      </c>
      <c r="G490" s="6">
        <v>9.0</v>
      </c>
      <c r="H490" s="7">
        <v>0.0</v>
      </c>
      <c r="I490" s="3">
        <v>14881.3</v>
      </c>
      <c r="J490" s="3">
        <v>2567.8</v>
      </c>
      <c r="K490" s="3">
        <v>15320.08</v>
      </c>
      <c r="L490" s="8">
        <v>15734.0</v>
      </c>
      <c r="M490" s="3">
        <v>14658.076171875</v>
      </c>
    </row>
    <row r="491" ht="12.0" customHeight="1">
      <c r="A491" s="6">
        <f t="shared" si="2"/>
        <v>2011.25</v>
      </c>
      <c r="B491" s="3">
        <v>3183.8</v>
      </c>
      <c r="C491" s="6">
        <f t="shared" si="1"/>
        <v>15461.02292</v>
      </c>
      <c r="D491" s="3">
        <v>1.03145</v>
      </c>
      <c r="E491" s="6">
        <v>311731.0</v>
      </c>
      <c r="F491" s="6">
        <v>0.0</v>
      </c>
      <c r="G491" s="6">
        <v>9.1</v>
      </c>
      <c r="H491" s="7">
        <v>0.0</v>
      </c>
      <c r="I491" s="3">
        <v>14989.6</v>
      </c>
      <c r="J491" s="3">
        <v>2577.2</v>
      </c>
      <c r="K491" s="3">
        <v>15383.73</v>
      </c>
      <c r="L491" s="8">
        <v>15773.0</v>
      </c>
      <c r="M491" s="3">
        <v>14744.2998046875</v>
      </c>
    </row>
    <row r="492" ht="12.0" customHeight="1">
      <c r="A492" s="6">
        <f t="shared" si="2"/>
        <v>2011.5</v>
      </c>
      <c r="B492" s="3">
        <v>3176.8</v>
      </c>
      <c r="C492" s="6">
        <f t="shared" si="1"/>
        <v>15587.09505</v>
      </c>
      <c r="D492" s="3">
        <v>1.03768</v>
      </c>
      <c r="E492" s="6">
        <v>312357.0</v>
      </c>
      <c r="F492" s="6">
        <v>0.0</v>
      </c>
      <c r="G492" s="6">
        <v>9.0</v>
      </c>
      <c r="H492" s="7">
        <v>-389.0</v>
      </c>
      <c r="I492" s="3">
        <v>15021.1</v>
      </c>
      <c r="J492" s="3">
        <v>2565.8</v>
      </c>
      <c r="K492" s="3">
        <v>15446.24</v>
      </c>
      <c r="L492" s="8">
        <v>15813.0</v>
      </c>
      <c r="M492" s="3">
        <v>14831.0302734375</v>
      </c>
    </row>
    <row r="493" ht="12.0" customHeight="1">
      <c r="A493" s="6">
        <f t="shared" si="2"/>
        <v>2011.75</v>
      </c>
      <c r="B493" s="3">
        <v>3160.4</v>
      </c>
      <c r="C493" s="6">
        <f t="shared" si="1"/>
        <v>15785.30405</v>
      </c>
      <c r="D493" s="3">
        <v>1.03917</v>
      </c>
      <c r="E493" s="6">
        <v>312996.0</v>
      </c>
      <c r="F493" s="6">
        <v>0.0</v>
      </c>
      <c r="G493" s="6">
        <v>8.6</v>
      </c>
      <c r="H493" s="7">
        <v>-48.6</v>
      </c>
      <c r="I493" s="3">
        <v>15190.3</v>
      </c>
      <c r="J493" s="3">
        <v>2585.6</v>
      </c>
      <c r="K493" s="3">
        <v>15507.71</v>
      </c>
      <c r="L493" s="8">
        <v>15855.0</v>
      </c>
      <c r="M493" s="3">
        <v>14918.2578125</v>
      </c>
    </row>
    <row r="494" ht="12.0" customHeight="1">
      <c r="A494" s="6">
        <f t="shared" si="2"/>
        <v>2012</v>
      </c>
      <c r="B494" s="3">
        <v>3171.6</v>
      </c>
      <c r="C494" s="6">
        <f t="shared" si="1"/>
        <v>15973.89606</v>
      </c>
      <c r="D494" s="3">
        <v>1.04466</v>
      </c>
      <c r="E494" s="6">
        <v>313532.0</v>
      </c>
      <c r="F494" s="6">
        <v>0.0</v>
      </c>
      <c r="G494" s="6">
        <v>8.3</v>
      </c>
      <c r="H494" s="7">
        <v>0.0</v>
      </c>
      <c r="I494" s="3">
        <v>15291.0</v>
      </c>
      <c r="J494" s="3">
        <v>2664.2</v>
      </c>
      <c r="K494" s="3">
        <v>15567.96</v>
      </c>
      <c r="L494" s="8">
        <v>15898.0</v>
      </c>
      <c r="M494" s="3">
        <v>15005.611328125</v>
      </c>
    </row>
    <row r="495" ht="12.0" customHeight="1">
      <c r="A495" s="6">
        <f t="shared" si="2"/>
        <v>2012.25</v>
      </c>
      <c r="B495" s="3">
        <v>3159.6</v>
      </c>
      <c r="C495" s="6">
        <f t="shared" si="1"/>
        <v>16121.76343</v>
      </c>
      <c r="D495" s="3">
        <v>1.04943</v>
      </c>
      <c r="E495" s="6">
        <v>314052.0</v>
      </c>
      <c r="F495" s="6">
        <v>0.0</v>
      </c>
      <c r="G495" s="6">
        <v>8.2</v>
      </c>
      <c r="H495" s="7">
        <v>0.0</v>
      </c>
      <c r="I495" s="3">
        <v>15362.4</v>
      </c>
      <c r="J495" s="3">
        <v>2678.6</v>
      </c>
      <c r="K495" s="3">
        <v>15626.85</v>
      </c>
      <c r="L495" s="8">
        <v>15946.0</v>
      </c>
      <c r="M495" s="3">
        <v>15093.4755859375</v>
      </c>
    </row>
    <row r="496" ht="12.0" customHeight="1">
      <c r="A496" s="6">
        <f t="shared" si="2"/>
        <v>2012.5</v>
      </c>
      <c r="B496" s="3">
        <v>3159.6</v>
      </c>
      <c r="C496" s="6">
        <f t="shared" si="1"/>
        <v>16227.97446</v>
      </c>
      <c r="D496" s="3">
        <v>1.05508</v>
      </c>
      <c r="E496" s="6">
        <v>314667.0</v>
      </c>
      <c r="F496" s="6">
        <v>0.0</v>
      </c>
      <c r="G496" s="6">
        <v>8.0</v>
      </c>
      <c r="H496" s="7">
        <v>0.0</v>
      </c>
      <c r="I496" s="3">
        <v>15380.8</v>
      </c>
      <c r="J496" s="3">
        <v>2687.7</v>
      </c>
      <c r="K496" s="3">
        <v>15684.65</v>
      </c>
      <c r="L496" s="8">
        <v>15997.0</v>
      </c>
      <c r="M496" s="3">
        <v>15181.85546875</v>
      </c>
    </row>
    <row r="497" ht="12.0" customHeight="1">
      <c r="A497" s="6">
        <f t="shared" si="2"/>
        <v>2012.75</v>
      </c>
      <c r="B497" s="3">
        <v>3143.5</v>
      </c>
      <c r="C497" s="6">
        <f t="shared" si="1"/>
        <v>16297.35821</v>
      </c>
      <c r="D497" s="3">
        <v>1.05935</v>
      </c>
      <c r="E497" s="6">
        <v>315322.0</v>
      </c>
      <c r="F497" s="6">
        <v>0.0</v>
      </c>
      <c r="G497" s="6">
        <v>7.8</v>
      </c>
      <c r="H497" s="7">
        <v>0.0</v>
      </c>
      <c r="I497" s="3">
        <v>15384.3</v>
      </c>
      <c r="J497" s="3">
        <v>2765.8</v>
      </c>
      <c r="K497" s="3">
        <v>15741.13</v>
      </c>
      <c r="L497" s="8">
        <v>16052.0</v>
      </c>
      <c r="M497" s="3">
        <v>15270.751953125</v>
      </c>
    </row>
    <row r="498" ht="12.0" customHeight="1">
      <c r="A498" s="6">
        <f t="shared" si="2"/>
        <v>2013</v>
      </c>
      <c r="B498" s="3">
        <v>3119.8</v>
      </c>
      <c r="C498" s="6">
        <f t="shared" si="1"/>
        <v>16440.74164</v>
      </c>
      <c r="D498" s="3">
        <v>1.06363</v>
      </c>
      <c r="E498" s="6">
        <v>315835.0</v>
      </c>
      <c r="F498" s="6">
        <v>0.0</v>
      </c>
      <c r="G498" s="6">
        <v>7.7</v>
      </c>
      <c r="H498" s="7">
        <v>-486.5</v>
      </c>
      <c r="I498" s="3">
        <v>15457.2</v>
      </c>
      <c r="J498" s="3">
        <v>2976.7</v>
      </c>
      <c r="K498" s="3">
        <v>15796.13</v>
      </c>
      <c r="L498" s="8">
        <v>16112.0</v>
      </c>
      <c r="M498" s="3">
        <v>15355.0576171875</v>
      </c>
    </row>
    <row r="499" ht="12.0" customHeight="1">
      <c r="A499" s="6">
        <f t="shared" si="2"/>
        <v>2013.25</v>
      </c>
      <c r="B499" s="3">
        <v>3111.4</v>
      </c>
      <c r="C499" s="6">
        <f t="shared" si="1"/>
        <v>16526.77825</v>
      </c>
      <c r="D499" s="3">
        <v>1.06623</v>
      </c>
      <c r="E499" s="6">
        <v>316337.0</v>
      </c>
      <c r="F499" s="6">
        <v>0.0</v>
      </c>
      <c r="G499" s="6">
        <v>7.5</v>
      </c>
      <c r="H499" s="7">
        <v>0.0</v>
      </c>
      <c r="I499" s="3">
        <v>15500.2</v>
      </c>
      <c r="J499" s="3">
        <v>3253.8</v>
      </c>
      <c r="K499" s="3">
        <v>15849.88</v>
      </c>
      <c r="L499" s="8">
        <v>16175.0</v>
      </c>
      <c r="M499" s="3">
        <v>15439.84375</v>
      </c>
    </row>
    <row r="500" ht="12.0" customHeight="1">
      <c r="A500" s="6">
        <f t="shared" si="2"/>
        <v>2013.5</v>
      </c>
      <c r="B500" s="3">
        <v>3110.7</v>
      </c>
      <c r="C500" s="6">
        <f t="shared" si="1"/>
        <v>16727.39443</v>
      </c>
      <c r="D500" s="3">
        <v>1.07128</v>
      </c>
      <c r="E500" s="6">
        <v>316967.0</v>
      </c>
      <c r="F500" s="6">
        <v>0.0</v>
      </c>
      <c r="G500" s="6">
        <v>7.3</v>
      </c>
      <c r="H500" s="7">
        <v>0.0</v>
      </c>
      <c r="I500" s="3">
        <v>15614.4</v>
      </c>
      <c r="J500" s="3">
        <v>3086.4</v>
      </c>
      <c r="K500" s="3">
        <v>15902.01</v>
      </c>
      <c r="L500" s="8">
        <v>16240.0</v>
      </c>
      <c r="M500" s="3">
        <v>15525.083984375</v>
      </c>
    </row>
    <row r="501" ht="12.0" customHeight="1">
      <c r="A501" s="6">
        <f t="shared" si="2"/>
        <v>2013.75</v>
      </c>
      <c r="B501" s="3">
        <v>3115.1</v>
      </c>
      <c r="C501" s="6">
        <f t="shared" si="1"/>
        <v>16957.64024</v>
      </c>
      <c r="D501" s="3">
        <v>1.07589</v>
      </c>
      <c r="E501" s="6">
        <v>317652.0</v>
      </c>
      <c r="F501" s="6">
        <v>0.0</v>
      </c>
      <c r="G501" s="6">
        <v>6.9</v>
      </c>
      <c r="H501" s="7">
        <v>0.0</v>
      </c>
      <c r="I501" s="3">
        <v>15761.5</v>
      </c>
      <c r="J501" s="3">
        <v>3248.2</v>
      </c>
      <c r="K501" s="3">
        <v>15952.75</v>
      </c>
      <c r="L501" s="8">
        <v>16306.0</v>
      </c>
      <c r="M501" s="3">
        <v>15610.7939453125</v>
      </c>
    </row>
    <row r="502" ht="12.0" customHeight="1">
      <c r="A502" s="6">
        <f t="shared" si="2"/>
        <v>2014</v>
      </c>
      <c r="B502" s="3">
        <v>3122.3</v>
      </c>
      <c r="C502" s="6">
        <f t="shared" si="1"/>
        <v>16984.30724</v>
      </c>
      <c r="D502" s="3">
        <v>1.08009</v>
      </c>
      <c r="E502" s="6">
        <v>318217.0</v>
      </c>
      <c r="F502" s="6">
        <v>0.0</v>
      </c>
      <c r="G502" s="6">
        <v>6.7</v>
      </c>
      <c r="H502" s="7">
        <v>0.0</v>
      </c>
      <c r="I502" s="6">
        <v>15724.9</v>
      </c>
      <c r="J502" s="3">
        <v>3215.5</v>
      </c>
      <c r="K502" s="3">
        <v>16001.98</v>
      </c>
      <c r="L502" s="8">
        <v>16370.0</v>
      </c>
      <c r="M502" s="3">
        <v>15687.32421875</v>
      </c>
    </row>
    <row r="503" ht="12.0" customHeight="1">
      <c r="A503" s="6">
        <f t="shared" si="2"/>
        <v>2014.25</v>
      </c>
      <c r="B503" s="3">
        <v>3146.3</v>
      </c>
      <c r="C503" s="6">
        <f t="shared" si="1"/>
        <v>17269.98309</v>
      </c>
      <c r="D503" s="3">
        <v>1.08606</v>
      </c>
      <c r="E503" s="6">
        <v>318762.0</v>
      </c>
      <c r="F503" s="6">
        <v>0.0</v>
      </c>
      <c r="G503" s="6">
        <v>6.2</v>
      </c>
      <c r="H503" s="7">
        <v>0.0</v>
      </c>
      <c r="I503" s="6">
        <v>15901.5</v>
      </c>
      <c r="J503" s="3">
        <v>3256.3</v>
      </c>
      <c r="K503" s="3">
        <v>16049.62</v>
      </c>
      <c r="L503" s="8">
        <v>16434.0</v>
      </c>
      <c r="M503" s="3">
        <v>15764.23046875</v>
      </c>
    </row>
    <row r="504" ht="12.0" customHeight="1">
      <c r="A504" s="6">
        <f t="shared" si="2"/>
        <v>2014.5</v>
      </c>
      <c r="B504" s="3">
        <v>3177.4</v>
      </c>
      <c r="C504" s="6">
        <f t="shared" si="1"/>
        <v>17522.06227</v>
      </c>
      <c r="D504" s="3">
        <v>1.09044</v>
      </c>
      <c r="E504" s="6">
        <v>319424.0</v>
      </c>
      <c r="F504" s="6">
        <v>0.0</v>
      </c>
      <c r="G504" s="6">
        <v>6.1</v>
      </c>
      <c r="H504" s="7">
        <v>0.0</v>
      </c>
      <c r="I504" s="6">
        <v>16068.8</v>
      </c>
      <c r="J504" s="3">
        <v>3293.4</v>
      </c>
      <c r="K504" s="3">
        <v>16095.62</v>
      </c>
      <c r="L504" s="8">
        <v>16497.0</v>
      </c>
      <c r="M504" s="3">
        <v>15841.5126953125</v>
      </c>
    </row>
    <row r="505" ht="12.0" customHeight="1">
      <c r="A505" s="6">
        <f t="shared" si="2"/>
        <v>2014.75</v>
      </c>
      <c r="B505" s="3">
        <v>3162.5</v>
      </c>
      <c r="C505" s="6">
        <f t="shared" si="1"/>
        <v>17615.84744</v>
      </c>
      <c r="D505" s="3">
        <v>1.09067</v>
      </c>
      <c r="E505" s="6">
        <v>320117.0</v>
      </c>
      <c r="F505" s="6">
        <v>0.0</v>
      </c>
      <c r="G505" s="6">
        <v>5.7</v>
      </c>
      <c r="H505" s="7">
        <v>0.0</v>
      </c>
      <c r="I505" s="6">
        <v>16151.4</v>
      </c>
      <c r="J505" s="3">
        <v>3295.7</v>
      </c>
      <c r="K505" s="3">
        <v>16139.85</v>
      </c>
      <c r="L505" s="8">
        <v>16560.0</v>
      </c>
      <c r="M505" s="3">
        <v>15919.1748046875</v>
      </c>
    </row>
    <row r="506" ht="12.0" customHeight="1">
      <c r="A506" s="6">
        <f t="shared" si="2"/>
        <v>2015</v>
      </c>
      <c r="B506" s="3">
        <v>3149.5</v>
      </c>
      <c r="C506" s="6">
        <f t="shared" si="1"/>
        <v>17649.27253</v>
      </c>
      <c r="D506" s="3">
        <v>1.09099</v>
      </c>
      <c r="E506" s="6">
        <v>320687.0</v>
      </c>
      <c r="F506" s="6">
        <v>0.0</v>
      </c>
      <c r="G506" s="6">
        <v>5.6</v>
      </c>
      <c r="H506" s="7">
        <v>0.0</v>
      </c>
      <c r="I506" s="6">
        <v>16177.3</v>
      </c>
      <c r="J506" s="3">
        <v>3356.5</v>
      </c>
      <c r="K506" s="3">
        <v>16182.44</v>
      </c>
      <c r="L506" s="8">
        <v>16622.0</v>
      </c>
      <c r="M506" s="3">
        <v>15985.4130859375</v>
      </c>
    </row>
    <row r="507" ht="12.0" customHeight="1">
      <c r="A507" s="6">
        <f t="shared" si="2"/>
        <v>2015.25</v>
      </c>
      <c r="B507" s="3">
        <v>3179.2</v>
      </c>
      <c r="C507" s="6">
        <f t="shared" si="1"/>
        <v>17913.71246</v>
      </c>
      <c r="D507" s="3">
        <v>1.09674</v>
      </c>
      <c r="E507" s="6">
        <v>321233.0</v>
      </c>
      <c r="F507" s="6">
        <v>0.0</v>
      </c>
      <c r="G507" s="6">
        <v>5.4</v>
      </c>
      <c r="H507" s="7">
        <v>0.0</v>
      </c>
      <c r="I507" s="6">
        <v>16333.6</v>
      </c>
      <c r="J507" s="3">
        <v>3440.4</v>
      </c>
      <c r="K507" s="3">
        <v>16223.33</v>
      </c>
      <c r="L507" s="8">
        <v>16684.0</v>
      </c>
      <c r="M507" s="3">
        <v>16051.912109375</v>
      </c>
    </row>
    <row r="508" ht="12.0" customHeight="1">
      <c r="A508" s="6">
        <f t="shared" si="2"/>
        <v>2015.5</v>
      </c>
      <c r="B508" s="3">
        <v>3201.0</v>
      </c>
      <c r="C508" s="6">
        <f t="shared" si="1"/>
        <v>18060.16006</v>
      </c>
      <c r="D508" s="3">
        <v>1.10029</v>
      </c>
      <c r="E508" s="6">
        <v>321895.0</v>
      </c>
      <c r="F508" s="6">
        <v>0.0</v>
      </c>
      <c r="G508" s="6">
        <v>5.2</v>
      </c>
      <c r="H508" s="7">
        <v>0.0</v>
      </c>
      <c r="I508" s="6">
        <v>16414.0</v>
      </c>
      <c r="J508" s="3">
        <v>3468.1</v>
      </c>
      <c r="K508" s="3">
        <v>16262.22</v>
      </c>
      <c r="L508" s="8">
        <v>16746.0</v>
      </c>
      <c r="M508" s="3">
        <v>16118.6875</v>
      </c>
    </row>
    <row r="509" ht="12.0" customHeight="1">
      <c r="A509" s="6">
        <f t="shared" si="2"/>
        <v>2015.75</v>
      </c>
      <c r="B509" s="3">
        <v>3203.9</v>
      </c>
      <c r="C509" s="6">
        <f t="shared" si="1"/>
        <v>18164.76592</v>
      </c>
      <c r="D509" s="3">
        <v>1.10286</v>
      </c>
      <c r="E509" s="6">
        <v>322588.0</v>
      </c>
      <c r="F509" s="6">
        <v>0.0</v>
      </c>
      <c r="G509" s="6">
        <v>5.0</v>
      </c>
      <c r="H509" s="7">
        <v>0.0</v>
      </c>
      <c r="I509" s="6">
        <v>16470.6</v>
      </c>
      <c r="J509" s="3">
        <v>3461.0</v>
      </c>
      <c r="K509" s="3">
        <v>16299.34</v>
      </c>
      <c r="L509" s="8">
        <v>16809.0</v>
      </c>
      <c r="M509" s="3">
        <v>16185.7568359375</v>
      </c>
    </row>
    <row r="510" ht="12.0" customHeight="1">
      <c r="A510" s="6"/>
      <c r="B510" s="6"/>
      <c r="C510" s="6"/>
      <c r="D510" s="9"/>
      <c r="E510" s="6"/>
      <c r="F510" s="6"/>
      <c r="G510" s="6"/>
      <c r="H510" s="6"/>
      <c r="I510" s="6"/>
    </row>
    <row r="511" ht="12.0" customHeight="1">
      <c r="A511" s="6"/>
      <c r="B511" s="6"/>
      <c r="C511" s="6"/>
      <c r="D511" s="9"/>
      <c r="E511" s="6"/>
      <c r="F511" s="6"/>
      <c r="G511" s="6"/>
      <c r="H511" s="6"/>
      <c r="I511" s="6"/>
    </row>
    <row r="512" ht="12.0" customHeight="1">
      <c r="A512" s="6"/>
      <c r="B512" s="6"/>
      <c r="C512" s="6"/>
      <c r="D512" s="9"/>
      <c r="E512" s="6"/>
      <c r="F512" s="6"/>
      <c r="G512" s="6"/>
      <c r="H512" s="6"/>
      <c r="I512" s="6"/>
    </row>
    <row r="513" ht="12.0" customHeight="1">
      <c r="A513" s="6"/>
      <c r="B513" s="6"/>
      <c r="C513" s="6"/>
      <c r="D513" s="9"/>
      <c r="E513" s="6"/>
      <c r="F513" s="6"/>
      <c r="G513" s="6"/>
      <c r="H513" s="6"/>
      <c r="I513" s="6"/>
    </row>
    <row r="514" ht="12.0" customHeight="1">
      <c r="A514" s="6"/>
      <c r="B514" s="6"/>
      <c r="C514" s="6"/>
      <c r="D514" s="9"/>
      <c r="E514" s="6"/>
      <c r="F514" s="6"/>
      <c r="G514" s="6"/>
      <c r="H514" s="6"/>
      <c r="I514" s="6"/>
    </row>
    <row r="515" ht="12.0" customHeight="1">
      <c r="A515" s="6"/>
      <c r="B515" s="6"/>
      <c r="C515" s="6"/>
      <c r="D515" s="9"/>
      <c r="E515" s="6"/>
      <c r="F515" s="6"/>
      <c r="G515" s="6"/>
      <c r="H515" s="6"/>
      <c r="I515" s="6"/>
    </row>
    <row r="516" ht="12.0" customHeight="1">
      <c r="A516" s="6"/>
      <c r="B516" s="6"/>
      <c r="C516" s="6"/>
      <c r="D516" s="9"/>
      <c r="E516" s="6"/>
      <c r="F516" s="6"/>
      <c r="G516" s="6"/>
      <c r="H516" s="6"/>
      <c r="I516" s="6"/>
    </row>
    <row r="517" ht="12.0" customHeight="1">
      <c r="A517" s="6"/>
      <c r="B517" s="6"/>
      <c r="C517" s="6"/>
      <c r="D517" s="9"/>
      <c r="E517" s="6"/>
      <c r="F517" s="6"/>
      <c r="G517" s="6"/>
      <c r="H517" s="6"/>
      <c r="I517" s="6"/>
    </row>
    <row r="518" ht="12.0" customHeight="1">
      <c r="A518" s="6"/>
      <c r="B518" s="6"/>
      <c r="C518" s="6"/>
      <c r="D518" s="9"/>
      <c r="E518" s="6"/>
      <c r="F518" s="6"/>
      <c r="G518" s="6"/>
      <c r="H518" s="6"/>
      <c r="I518" s="6"/>
    </row>
    <row r="519" ht="12.0" customHeight="1">
      <c r="A519" s="6"/>
      <c r="B519" s="6"/>
      <c r="C519" s="6"/>
      <c r="D519" s="9"/>
      <c r="E519" s="6"/>
      <c r="F519" s="6"/>
      <c r="G519" s="6"/>
      <c r="H519" s="6"/>
      <c r="I519" s="6"/>
    </row>
    <row r="520" ht="12.0" customHeight="1">
      <c r="A520" s="6"/>
      <c r="B520" s="6"/>
      <c r="C520" s="6"/>
      <c r="D520" s="9"/>
      <c r="E520" s="6"/>
      <c r="F520" s="6"/>
      <c r="G520" s="6"/>
      <c r="H520" s="6"/>
      <c r="I520" s="6"/>
    </row>
    <row r="521" ht="12.0" customHeight="1">
      <c r="A521" s="6"/>
      <c r="B521" s="6"/>
      <c r="C521" s="6"/>
      <c r="D521" s="9"/>
      <c r="E521" s="6"/>
      <c r="F521" s="6"/>
      <c r="G521" s="6"/>
      <c r="H521" s="6"/>
      <c r="I521" s="6"/>
    </row>
    <row r="522" ht="12.0" customHeight="1">
      <c r="A522" s="6"/>
      <c r="B522" s="6"/>
      <c r="C522" s="6"/>
      <c r="D522" s="9"/>
      <c r="E522" s="6"/>
      <c r="F522" s="6"/>
      <c r="G522" s="6"/>
      <c r="H522" s="6"/>
      <c r="I522" s="6"/>
    </row>
    <row r="523" ht="12.0" customHeight="1">
      <c r="A523" s="6"/>
      <c r="B523" s="6"/>
      <c r="C523" s="6"/>
      <c r="D523" s="9"/>
      <c r="E523" s="6"/>
      <c r="F523" s="6"/>
      <c r="G523" s="6"/>
      <c r="H523" s="6"/>
      <c r="I523" s="6"/>
    </row>
    <row r="524" ht="12.0" customHeight="1">
      <c r="A524" s="6"/>
      <c r="B524" s="6"/>
      <c r="C524" s="6"/>
      <c r="D524" s="9"/>
      <c r="E524" s="6"/>
      <c r="F524" s="6"/>
      <c r="G524" s="6"/>
      <c r="H524" s="6"/>
      <c r="I524" s="6"/>
    </row>
    <row r="525" ht="12.0" customHeight="1">
      <c r="A525" s="6"/>
      <c r="B525" s="6"/>
      <c r="C525" s="6"/>
      <c r="D525" s="9"/>
      <c r="E525" s="6"/>
      <c r="F525" s="6"/>
      <c r="G525" s="6"/>
      <c r="H525" s="6"/>
      <c r="I525" s="6"/>
    </row>
    <row r="526" ht="12.0" customHeight="1">
      <c r="A526" s="6"/>
      <c r="B526" s="6"/>
      <c r="C526" s="6"/>
      <c r="D526" s="9"/>
      <c r="E526" s="6"/>
      <c r="F526" s="6"/>
      <c r="G526" s="6"/>
      <c r="H526" s="6"/>
      <c r="I526" s="6"/>
    </row>
    <row r="527" ht="12.0" customHeight="1">
      <c r="A527" s="6"/>
      <c r="B527" s="6"/>
      <c r="C527" s="6"/>
      <c r="D527" s="9"/>
      <c r="E527" s="6"/>
      <c r="F527" s="6"/>
      <c r="G527" s="6"/>
      <c r="H527" s="6"/>
      <c r="I527" s="6"/>
    </row>
    <row r="528" ht="12.0" customHeight="1">
      <c r="A528" s="6"/>
      <c r="B528" s="6"/>
      <c r="C528" s="6"/>
      <c r="D528" s="9"/>
      <c r="E528" s="6"/>
      <c r="F528" s="6"/>
      <c r="G528" s="6"/>
      <c r="H528" s="6"/>
      <c r="I528" s="6"/>
    </row>
    <row r="529" ht="12.0" customHeight="1">
      <c r="A529" s="6"/>
      <c r="B529" s="6"/>
      <c r="C529" s="6"/>
      <c r="D529" s="9"/>
      <c r="E529" s="6"/>
      <c r="F529" s="6"/>
      <c r="G529" s="6"/>
      <c r="H529" s="6"/>
      <c r="I529" s="6"/>
    </row>
    <row r="530" ht="12.0" customHeight="1">
      <c r="A530" s="6"/>
      <c r="B530" s="6"/>
      <c r="C530" s="6"/>
      <c r="D530" s="9"/>
      <c r="E530" s="6"/>
      <c r="F530" s="6"/>
      <c r="G530" s="6"/>
      <c r="H530" s="6"/>
      <c r="I530" s="6"/>
    </row>
    <row r="531" ht="12.0" customHeight="1">
      <c r="A531" s="6"/>
      <c r="B531" s="6"/>
      <c r="C531" s="6"/>
      <c r="D531" s="9"/>
      <c r="E531" s="6"/>
      <c r="F531" s="6"/>
      <c r="G531" s="6"/>
      <c r="H531" s="6"/>
      <c r="I531" s="6"/>
    </row>
    <row r="532" ht="12.0" customHeight="1">
      <c r="A532" s="6"/>
      <c r="B532" s="6"/>
      <c r="C532" s="6"/>
      <c r="D532" s="9"/>
      <c r="E532" s="6"/>
      <c r="F532" s="6"/>
      <c r="G532" s="6"/>
      <c r="H532" s="6"/>
      <c r="I532" s="6"/>
    </row>
    <row r="533" ht="12.0" customHeight="1">
      <c r="A533" s="6"/>
      <c r="B533" s="6"/>
      <c r="C533" s="6"/>
      <c r="D533" s="9"/>
      <c r="E533" s="6"/>
      <c r="F533" s="6"/>
      <c r="G533" s="6"/>
      <c r="H533" s="6"/>
      <c r="I533" s="6"/>
    </row>
    <row r="534" ht="12.0" customHeight="1">
      <c r="A534" s="6"/>
      <c r="B534" s="6"/>
      <c r="C534" s="6"/>
      <c r="D534" s="9"/>
      <c r="E534" s="6"/>
      <c r="F534" s="6"/>
      <c r="G534" s="6"/>
      <c r="H534" s="6"/>
      <c r="I534" s="6"/>
    </row>
    <row r="535" ht="12.0" customHeight="1">
      <c r="A535" s="6"/>
      <c r="B535" s="6"/>
      <c r="C535" s="6"/>
      <c r="D535" s="9"/>
      <c r="E535" s="6"/>
      <c r="F535" s="6"/>
      <c r="G535" s="6"/>
      <c r="H535" s="6"/>
      <c r="I535" s="6"/>
    </row>
    <row r="536" ht="12.0" customHeight="1">
      <c r="A536" s="6"/>
      <c r="B536" s="6"/>
      <c r="C536" s="6"/>
      <c r="D536" s="9"/>
      <c r="E536" s="6"/>
      <c r="F536" s="6"/>
      <c r="G536" s="6"/>
      <c r="H536" s="6"/>
      <c r="I536" s="6"/>
    </row>
    <row r="537" ht="12.0" customHeight="1">
      <c r="A537" s="6"/>
      <c r="B537" s="6"/>
      <c r="C537" s="6"/>
      <c r="D537" s="9"/>
      <c r="E537" s="6"/>
      <c r="F537" s="6"/>
      <c r="G537" s="6"/>
      <c r="H537" s="6"/>
      <c r="I537" s="6"/>
    </row>
    <row r="538" ht="12.0" customHeight="1">
      <c r="A538" s="6"/>
      <c r="B538" s="6"/>
      <c r="C538" s="6"/>
      <c r="D538" s="9"/>
      <c r="E538" s="6"/>
      <c r="F538" s="6"/>
      <c r="G538" s="6"/>
      <c r="H538" s="6"/>
      <c r="I538" s="6"/>
    </row>
    <row r="539" ht="12.0" customHeight="1">
      <c r="A539" s="6"/>
      <c r="B539" s="6"/>
      <c r="C539" s="6"/>
      <c r="D539" s="9"/>
      <c r="E539" s="6"/>
      <c r="F539" s="6"/>
      <c r="G539" s="6"/>
      <c r="H539" s="6"/>
      <c r="I539" s="6"/>
    </row>
    <row r="540" ht="12.0" customHeight="1">
      <c r="A540" s="6"/>
      <c r="B540" s="6"/>
      <c r="C540" s="6"/>
      <c r="D540" s="9"/>
      <c r="E540" s="6"/>
      <c r="F540" s="6"/>
      <c r="G540" s="6"/>
      <c r="H540" s="6"/>
      <c r="I540" s="6"/>
    </row>
    <row r="541" ht="12.0" customHeight="1">
      <c r="A541" s="6"/>
      <c r="B541" s="6"/>
      <c r="C541" s="6"/>
      <c r="D541" s="9"/>
      <c r="E541" s="6"/>
      <c r="F541" s="6"/>
      <c r="G541" s="6"/>
      <c r="H541" s="6"/>
      <c r="I541" s="6"/>
    </row>
    <row r="542" ht="12.0" customHeight="1">
      <c r="A542" s="6"/>
      <c r="B542" s="6"/>
      <c r="C542" s="6"/>
      <c r="D542" s="9"/>
      <c r="E542" s="6"/>
      <c r="F542" s="6"/>
      <c r="G542" s="6"/>
      <c r="H542" s="6"/>
      <c r="I542" s="6"/>
    </row>
    <row r="543" ht="12.0" customHeight="1">
      <c r="A543" s="6"/>
      <c r="B543" s="6"/>
      <c r="C543" s="6"/>
      <c r="D543" s="9"/>
      <c r="E543" s="6"/>
      <c r="F543" s="6"/>
      <c r="G543" s="6"/>
      <c r="H543" s="6"/>
      <c r="I543" s="6"/>
    </row>
    <row r="544" ht="12.0" customHeight="1">
      <c r="A544" s="6"/>
      <c r="B544" s="6"/>
      <c r="C544" s="6"/>
      <c r="D544" s="9"/>
      <c r="E544" s="6"/>
      <c r="F544" s="6"/>
      <c r="G544" s="6"/>
      <c r="H544" s="6"/>
      <c r="I544" s="6"/>
    </row>
    <row r="545" ht="12.0" customHeight="1">
      <c r="A545" s="6"/>
      <c r="B545" s="6"/>
      <c r="C545" s="6"/>
      <c r="D545" s="9"/>
      <c r="E545" s="6"/>
      <c r="F545" s="6"/>
      <c r="G545" s="6"/>
      <c r="H545" s="6"/>
      <c r="I545" s="6"/>
    </row>
    <row r="546" ht="12.0" customHeight="1">
      <c r="A546" s="6"/>
      <c r="B546" s="6"/>
      <c r="C546" s="6"/>
      <c r="D546" s="9"/>
      <c r="E546" s="6"/>
      <c r="F546" s="6"/>
      <c r="G546" s="6"/>
      <c r="H546" s="6"/>
      <c r="I546" s="6"/>
    </row>
    <row r="547" ht="12.0" customHeight="1">
      <c r="A547" s="6"/>
      <c r="B547" s="6"/>
      <c r="C547" s="6"/>
      <c r="D547" s="9"/>
      <c r="E547" s="6"/>
      <c r="F547" s="6"/>
      <c r="G547" s="6"/>
      <c r="H547" s="6"/>
      <c r="I547" s="6"/>
    </row>
    <row r="548" ht="12.0" customHeight="1">
      <c r="A548" s="6"/>
      <c r="B548" s="6"/>
      <c r="C548" s="6"/>
      <c r="D548" s="9"/>
      <c r="E548" s="6"/>
      <c r="F548" s="6"/>
      <c r="G548" s="6"/>
      <c r="H548" s="6"/>
      <c r="I548" s="6"/>
    </row>
    <row r="549" ht="12.0" customHeight="1">
      <c r="A549" s="6"/>
      <c r="B549" s="6"/>
      <c r="C549" s="6"/>
      <c r="D549" s="9"/>
      <c r="E549" s="6"/>
      <c r="F549" s="6"/>
      <c r="G549" s="6"/>
      <c r="H549" s="6"/>
      <c r="I549" s="6"/>
    </row>
    <row r="550" ht="12.0" customHeight="1">
      <c r="A550" s="6"/>
      <c r="B550" s="6"/>
      <c r="C550" s="6"/>
      <c r="D550" s="9"/>
      <c r="E550" s="6"/>
      <c r="F550" s="6"/>
      <c r="G550" s="6"/>
      <c r="H550" s="6"/>
      <c r="I550" s="6"/>
    </row>
    <row r="551" ht="12.0" customHeight="1">
      <c r="A551" s="6"/>
      <c r="B551" s="6"/>
      <c r="C551" s="6"/>
      <c r="D551" s="9"/>
      <c r="E551" s="6"/>
      <c r="F551" s="6"/>
      <c r="G551" s="6"/>
      <c r="H551" s="6"/>
      <c r="I551" s="6"/>
    </row>
    <row r="552" ht="12.0" customHeight="1">
      <c r="A552" s="6"/>
      <c r="B552" s="6"/>
      <c r="C552" s="6"/>
      <c r="D552" s="9"/>
      <c r="E552" s="6"/>
      <c r="F552" s="6"/>
      <c r="G552" s="6"/>
      <c r="H552" s="6"/>
      <c r="I552" s="6"/>
    </row>
    <row r="553" ht="12.0" customHeight="1">
      <c r="A553" s="6"/>
      <c r="B553" s="6"/>
      <c r="C553" s="6"/>
      <c r="D553" s="9"/>
      <c r="E553" s="6"/>
      <c r="F553" s="6"/>
      <c r="G553" s="6"/>
      <c r="H553" s="6"/>
      <c r="I553" s="6"/>
    </row>
    <row r="554" ht="12.0" customHeight="1">
      <c r="A554" s="6"/>
      <c r="B554" s="6"/>
      <c r="C554" s="6"/>
      <c r="D554" s="9"/>
      <c r="E554" s="6"/>
      <c r="F554" s="6"/>
      <c r="G554" s="6"/>
      <c r="H554" s="6"/>
      <c r="I554" s="6"/>
    </row>
    <row r="555" ht="12.0" customHeight="1">
      <c r="A555" s="6"/>
      <c r="B555" s="6"/>
      <c r="C555" s="6"/>
      <c r="D555" s="9"/>
      <c r="E555" s="6"/>
      <c r="F555" s="6"/>
      <c r="G555" s="6"/>
      <c r="H555" s="6"/>
      <c r="I555" s="6"/>
    </row>
    <row r="556" ht="12.0" customHeight="1">
      <c r="A556" s="6"/>
      <c r="B556" s="6"/>
      <c r="C556" s="6"/>
      <c r="D556" s="9"/>
      <c r="E556" s="6"/>
      <c r="F556" s="6"/>
      <c r="G556" s="6"/>
      <c r="H556" s="6"/>
      <c r="I556" s="6"/>
    </row>
    <row r="557" ht="12.0" customHeight="1">
      <c r="A557" s="6"/>
      <c r="B557" s="6"/>
      <c r="C557" s="6"/>
      <c r="D557" s="9"/>
      <c r="E557" s="6"/>
      <c r="F557" s="6"/>
      <c r="G557" s="6"/>
      <c r="H557" s="6"/>
      <c r="I557" s="6"/>
    </row>
    <row r="558" ht="12.0" customHeight="1">
      <c r="A558" s="6"/>
      <c r="B558" s="6"/>
      <c r="C558" s="6"/>
      <c r="D558" s="9"/>
      <c r="E558" s="6"/>
      <c r="F558" s="6"/>
      <c r="G558" s="6"/>
      <c r="H558" s="6"/>
      <c r="I558" s="6"/>
    </row>
    <row r="559" ht="12.0" customHeight="1">
      <c r="A559" s="6"/>
      <c r="B559" s="6"/>
      <c r="C559" s="6"/>
      <c r="D559" s="9"/>
      <c r="E559" s="6"/>
      <c r="F559" s="6"/>
      <c r="G559" s="6"/>
      <c r="H559" s="6"/>
      <c r="I559" s="6"/>
    </row>
    <row r="560" ht="12.0" customHeight="1">
      <c r="A560" s="6"/>
      <c r="B560" s="6"/>
      <c r="C560" s="6"/>
      <c r="D560" s="9"/>
      <c r="E560" s="6"/>
      <c r="F560" s="6"/>
      <c r="G560" s="6"/>
      <c r="H560" s="6"/>
      <c r="I560" s="6"/>
    </row>
    <row r="561" ht="12.0" customHeight="1">
      <c r="A561" s="6"/>
      <c r="B561" s="6"/>
      <c r="C561" s="6"/>
      <c r="D561" s="9"/>
      <c r="E561" s="6"/>
      <c r="F561" s="6"/>
      <c r="G561" s="6"/>
      <c r="H561" s="6"/>
      <c r="I561" s="6"/>
    </row>
    <row r="562" ht="12.0" customHeight="1">
      <c r="A562" s="6"/>
      <c r="B562" s="6"/>
      <c r="C562" s="6"/>
      <c r="D562" s="9"/>
      <c r="E562" s="6"/>
      <c r="F562" s="6"/>
      <c r="G562" s="6"/>
      <c r="H562" s="6"/>
      <c r="I562" s="6"/>
    </row>
    <row r="563" ht="12.0" customHeight="1">
      <c r="A563" s="6"/>
      <c r="B563" s="6"/>
      <c r="C563" s="6"/>
      <c r="D563" s="9"/>
      <c r="E563" s="6"/>
      <c r="F563" s="6"/>
      <c r="G563" s="6"/>
      <c r="H563" s="6"/>
      <c r="I563" s="6"/>
    </row>
    <row r="564" ht="12.0" customHeight="1">
      <c r="A564" s="6"/>
      <c r="B564" s="6"/>
      <c r="C564" s="6"/>
      <c r="D564" s="9"/>
      <c r="E564" s="6"/>
      <c r="F564" s="6"/>
      <c r="G564" s="6"/>
      <c r="H564" s="6"/>
      <c r="I564" s="6"/>
    </row>
    <row r="565" ht="12.0" customHeight="1">
      <c r="A565" s="6"/>
      <c r="B565" s="6"/>
      <c r="C565" s="6"/>
      <c r="D565" s="9"/>
      <c r="E565" s="6"/>
      <c r="F565" s="6"/>
      <c r="G565" s="6"/>
      <c r="H565" s="6"/>
      <c r="I565" s="6"/>
    </row>
    <row r="566" ht="12.0" customHeight="1">
      <c r="A566" s="6"/>
      <c r="B566" s="6"/>
      <c r="C566" s="6"/>
      <c r="D566" s="9"/>
      <c r="E566" s="6"/>
      <c r="F566" s="6"/>
      <c r="G566" s="6"/>
      <c r="H566" s="6"/>
      <c r="I566" s="6"/>
    </row>
    <row r="567" ht="12.0" customHeight="1">
      <c r="A567" s="6"/>
      <c r="B567" s="6"/>
      <c r="C567" s="6"/>
      <c r="D567" s="9"/>
      <c r="E567" s="6"/>
      <c r="F567" s="6"/>
      <c r="G567" s="6"/>
      <c r="H567" s="6"/>
      <c r="I567" s="6"/>
    </row>
    <row r="568" ht="12.0" customHeight="1">
      <c r="A568" s="6"/>
      <c r="B568" s="6"/>
      <c r="C568" s="6"/>
      <c r="D568" s="9"/>
      <c r="E568" s="6"/>
      <c r="F568" s="6"/>
      <c r="G568" s="6"/>
      <c r="H568" s="6"/>
      <c r="I568" s="6"/>
    </row>
    <row r="569" ht="12.0" customHeight="1">
      <c r="A569" s="6"/>
      <c r="B569" s="6"/>
      <c r="C569" s="6"/>
      <c r="D569" s="9"/>
      <c r="E569" s="6"/>
      <c r="F569" s="6"/>
      <c r="G569" s="6"/>
      <c r="H569" s="6"/>
      <c r="I569" s="6"/>
    </row>
    <row r="570" ht="12.0" customHeight="1">
      <c r="A570" s="6"/>
      <c r="B570" s="6"/>
      <c r="C570" s="6"/>
      <c r="D570" s="9"/>
      <c r="E570" s="6"/>
      <c r="F570" s="6"/>
      <c r="G570" s="6"/>
      <c r="H570" s="6"/>
      <c r="I570" s="6"/>
    </row>
    <row r="571" ht="12.0" customHeight="1">
      <c r="A571" s="6"/>
      <c r="B571" s="6"/>
      <c r="C571" s="6"/>
      <c r="D571" s="9"/>
      <c r="E571" s="6"/>
      <c r="F571" s="6"/>
      <c r="G571" s="6"/>
      <c r="H571" s="6"/>
      <c r="I571" s="6"/>
    </row>
    <row r="572" ht="12.0" customHeight="1">
      <c r="A572" s="6"/>
      <c r="B572" s="6"/>
      <c r="C572" s="6"/>
      <c r="D572" s="9"/>
      <c r="E572" s="6"/>
      <c r="F572" s="6"/>
      <c r="G572" s="6"/>
      <c r="H572" s="6"/>
      <c r="I572" s="6"/>
    </row>
    <row r="573" ht="12.0" customHeight="1">
      <c r="A573" s="6"/>
      <c r="B573" s="6"/>
      <c r="C573" s="6"/>
      <c r="D573" s="9"/>
      <c r="E573" s="6"/>
      <c r="F573" s="6"/>
      <c r="G573" s="6"/>
      <c r="H573" s="6"/>
      <c r="I573" s="6"/>
    </row>
    <row r="574" ht="12.0" customHeight="1">
      <c r="A574" s="6"/>
      <c r="B574" s="6"/>
      <c r="C574" s="6"/>
      <c r="D574" s="9"/>
      <c r="E574" s="6"/>
      <c r="F574" s="6"/>
      <c r="G574" s="6"/>
      <c r="H574" s="6"/>
      <c r="I574" s="6"/>
    </row>
    <row r="575" ht="12.0" customHeight="1">
      <c r="A575" s="6"/>
      <c r="B575" s="6"/>
      <c r="C575" s="6"/>
      <c r="D575" s="9"/>
      <c r="E575" s="6"/>
      <c r="F575" s="6"/>
      <c r="G575" s="6"/>
      <c r="H575" s="6"/>
      <c r="I575" s="6"/>
    </row>
    <row r="576" ht="12.0" customHeight="1">
      <c r="A576" s="6"/>
      <c r="B576" s="6"/>
      <c r="C576" s="6"/>
      <c r="D576" s="9"/>
      <c r="E576" s="6"/>
      <c r="F576" s="6"/>
      <c r="G576" s="6"/>
      <c r="H576" s="6"/>
      <c r="I576" s="6"/>
    </row>
    <row r="577" ht="12.0" customHeight="1">
      <c r="A577" s="6"/>
      <c r="B577" s="6"/>
      <c r="C577" s="6"/>
      <c r="D577" s="9"/>
      <c r="E577" s="6"/>
      <c r="F577" s="6"/>
      <c r="G577" s="6"/>
      <c r="H577" s="6"/>
      <c r="I577" s="6"/>
    </row>
    <row r="578" ht="12.0" customHeight="1">
      <c r="A578" s="6"/>
      <c r="B578" s="6"/>
      <c r="C578" s="6"/>
      <c r="D578" s="9"/>
      <c r="E578" s="6"/>
      <c r="F578" s="6"/>
      <c r="G578" s="6"/>
      <c r="H578" s="6"/>
      <c r="I578" s="6"/>
    </row>
    <row r="579" ht="12.0" customHeight="1">
      <c r="A579" s="6"/>
      <c r="B579" s="6"/>
      <c r="C579" s="6"/>
      <c r="D579" s="9"/>
      <c r="E579" s="6"/>
      <c r="F579" s="6"/>
      <c r="G579" s="6"/>
      <c r="H579" s="6"/>
      <c r="I579" s="6"/>
    </row>
    <row r="580" ht="12.0" customHeight="1">
      <c r="A580" s="6"/>
      <c r="B580" s="6"/>
      <c r="C580" s="6"/>
      <c r="D580" s="9"/>
      <c r="E580" s="6"/>
      <c r="F580" s="6"/>
      <c r="G580" s="6"/>
      <c r="H580" s="6"/>
      <c r="I580" s="6"/>
    </row>
    <row r="581" ht="12.0" customHeight="1">
      <c r="A581" s="6"/>
      <c r="B581" s="6"/>
      <c r="C581" s="6"/>
      <c r="D581" s="9"/>
      <c r="E581" s="6"/>
      <c r="F581" s="6"/>
      <c r="G581" s="6"/>
      <c r="H581" s="6"/>
      <c r="I581" s="6"/>
    </row>
    <row r="582" ht="12.0" customHeight="1">
      <c r="A582" s="6"/>
      <c r="B582" s="6"/>
      <c r="C582" s="6"/>
      <c r="D582" s="9"/>
      <c r="E582" s="6"/>
      <c r="F582" s="6"/>
      <c r="G582" s="6"/>
      <c r="H582" s="6"/>
      <c r="I582" s="6"/>
    </row>
    <row r="583" ht="12.0" customHeight="1">
      <c r="A583" s="6"/>
      <c r="B583" s="6"/>
      <c r="C583" s="6"/>
      <c r="D583" s="9"/>
      <c r="E583" s="6"/>
      <c r="F583" s="6"/>
      <c r="G583" s="6"/>
      <c r="H583" s="6"/>
      <c r="I583" s="6"/>
    </row>
    <row r="584" ht="12.0" customHeight="1">
      <c r="A584" s="6"/>
      <c r="B584" s="6"/>
      <c r="C584" s="6"/>
      <c r="D584" s="9"/>
      <c r="E584" s="6"/>
      <c r="F584" s="6"/>
      <c r="G584" s="6"/>
      <c r="H584" s="6"/>
      <c r="I584" s="6"/>
    </row>
    <row r="585" ht="12.0" customHeight="1">
      <c r="A585" s="6"/>
      <c r="B585" s="6"/>
      <c r="C585" s="6"/>
      <c r="D585" s="9"/>
      <c r="E585" s="6"/>
      <c r="F585" s="6"/>
      <c r="G585" s="6"/>
      <c r="H585" s="6"/>
      <c r="I585" s="6"/>
    </row>
    <row r="586" ht="12.0" customHeight="1">
      <c r="A586" s="6"/>
      <c r="B586" s="6"/>
      <c r="C586" s="6"/>
      <c r="D586" s="9"/>
      <c r="E586" s="6"/>
      <c r="F586" s="6"/>
      <c r="G586" s="6"/>
      <c r="H586" s="6"/>
      <c r="I586" s="6"/>
    </row>
    <row r="587" ht="12.0" customHeight="1">
      <c r="A587" s="6"/>
      <c r="B587" s="6"/>
      <c r="C587" s="6"/>
      <c r="D587" s="9"/>
      <c r="E587" s="6"/>
      <c r="F587" s="6"/>
      <c r="G587" s="6"/>
      <c r="H587" s="6"/>
      <c r="I587" s="6"/>
    </row>
    <row r="588" ht="12.0" customHeight="1">
      <c r="A588" s="6"/>
      <c r="B588" s="6"/>
      <c r="C588" s="6"/>
      <c r="D588" s="9"/>
      <c r="E588" s="6"/>
      <c r="F588" s="6"/>
      <c r="G588" s="6"/>
      <c r="H588" s="6"/>
      <c r="I588" s="6"/>
    </row>
    <row r="589" ht="12.0" customHeight="1">
      <c r="A589" s="6"/>
      <c r="B589" s="6"/>
      <c r="C589" s="6"/>
      <c r="D589" s="9"/>
      <c r="E589" s="6"/>
      <c r="F589" s="6"/>
      <c r="G589" s="6"/>
      <c r="H589" s="6"/>
      <c r="I589" s="6"/>
    </row>
    <row r="590" ht="12.0" customHeight="1">
      <c r="A590" s="6"/>
      <c r="B590" s="6"/>
      <c r="C590" s="6"/>
      <c r="D590" s="9"/>
      <c r="E590" s="6"/>
      <c r="F590" s="6"/>
      <c r="G590" s="6"/>
      <c r="H590" s="6"/>
      <c r="I590" s="6"/>
    </row>
    <row r="591" ht="12.0" customHeight="1">
      <c r="A591" s="6"/>
      <c r="B591" s="6"/>
      <c r="C591" s="6"/>
      <c r="D591" s="9"/>
      <c r="E591" s="6"/>
      <c r="F591" s="6"/>
      <c r="G591" s="6"/>
      <c r="H591" s="6"/>
      <c r="I591" s="6"/>
    </row>
    <row r="592" ht="12.0" customHeight="1">
      <c r="A592" s="6"/>
      <c r="B592" s="6"/>
      <c r="C592" s="6"/>
      <c r="D592" s="9"/>
      <c r="E592" s="6"/>
      <c r="F592" s="6"/>
      <c r="G592" s="6"/>
      <c r="H592" s="6"/>
      <c r="I592" s="6"/>
    </row>
    <row r="593" ht="12.0" customHeight="1">
      <c r="A593" s="6"/>
      <c r="B593" s="6"/>
      <c r="C593" s="6"/>
      <c r="D593" s="9"/>
      <c r="E593" s="6"/>
      <c r="F593" s="6"/>
      <c r="G593" s="6"/>
      <c r="H593" s="6"/>
      <c r="I593" s="6"/>
    </row>
    <row r="594" ht="12.0" customHeight="1">
      <c r="A594" s="6"/>
      <c r="B594" s="6"/>
      <c r="C594" s="6"/>
      <c r="D594" s="9"/>
      <c r="E594" s="6"/>
      <c r="F594" s="6"/>
      <c r="G594" s="6"/>
      <c r="H594" s="6"/>
      <c r="I594" s="6"/>
    </row>
    <row r="595" ht="12.0" customHeight="1">
      <c r="A595" s="6"/>
      <c r="B595" s="6"/>
      <c r="C595" s="6"/>
      <c r="D595" s="9"/>
      <c r="E595" s="6"/>
      <c r="F595" s="6"/>
      <c r="G595" s="6"/>
      <c r="H595" s="6"/>
      <c r="I595" s="6"/>
    </row>
    <row r="596" ht="12.0" customHeight="1">
      <c r="A596" s="6"/>
      <c r="B596" s="6"/>
      <c r="C596" s="6"/>
      <c r="D596" s="9"/>
      <c r="E596" s="6"/>
      <c r="F596" s="6"/>
      <c r="G596" s="6"/>
      <c r="H596" s="6"/>
      <c r="I596" s="6"/>
    </row>
    <row r="597" ht="12.0" customHeight="1">
      <c r="A597" s="6"/>
      <c r="B597" s="6"/>
      <c r="C597" s="6"/>
      <c r="D597" s="9"/>
      <c r="E597" s="6"/>
      <c r="F597" s="6"/>
      <c r="G597" s="6"/>
      <c r="H597" s="6"/>
      <c r="I597" s="6"/>
    </row>
    <row r="598" ht="12.0" customHeight="1">
      <c r="A598" s="6"/>
      <c r="B598" s="6"/>
      <c r="C598" s="6"/>
      <c r="D598" s="9"/>
      <c r="E598" s="6"/>
      <c r="F598" s="6"/>
      <c r="G598" s="6"/>
      <c r="H598" s="6"/>
      <c r="I598" s="6"/>
    </row>
    <row r="599" ht="12.0" customHeight="1">
      <c r="A599" s="6"/>
      <c r="B599" s="6"/>
      <c r="C599" s="6"/>
      <c r="D599" s="9"/>
      <c r="E599" s="6"/>
      <c r="F599" s="6"/>
      <c r="G599" s="6"/>
      <c r="H599" s="6"/>
      <c r="I599" s="6"/>
    </row>
    <row r="600" ht="12.0" customHeight="1">
      <c r="A600" s="6"/>
      <c r="B600" s="6"/>
      <c r="C600" s="6"/>
      <c r="D600" s="9"/>
      <c r="E600" s="6"/>
      <c r="F600" s="6"/>
      <c r="G600" s="6"/>
      <c r="H600" s="6"/>
      <c r="I600" s="6"/>
    </row>
    <row r="601" ht="12.0" customHeight="1">
      <c r="A601" s="6"/>
      <c r="B601" s="6"/>
      <c r="C601" s="6"/>
      <c r="D601" s="9"/>
      <c r="E601" s="6"/>
      <c r="F601" s="6"/>
      <c r="G601" s="6"/>
      <c r="H601" s="6"/>
      <c r="I601" s="6"/>
    </row>
    <row r="602" ht="12.0" customHeight="1">
      <c r="A602" s="6"/>
      <c r="B602" s="6"/>
      <c r="C602" s="6"/>
      <c r="D602" s="9"/>
      <c r="E602" s="6"/>
      <c r="F602" s="6"/>
      <c r="G602" s="6"/>
      <c r="H602" s="6"/>
      <c r="I602" s="6"/>
    </row>
    <row r="603" ht="12.0" customHeight="1">
      <c r="A603" s="6"/>
      <c r="B603" s="6"/>
      <c r="C603" s="6"/>
      <c r="D603" s="9"/>
      <c r="E603" s="6"/>
      <c r="F603" s="6"/>
      <c r="G603" s="6"/>
      <c r="H603" s="6"/>
      <c r="I603" s="6"/>
    </row>
    <row r="604" ht="12.0" customHeight="1">
      <c r="A604" s="6"/>
      <c r="B604" s="6"/>
      <c r="C604" s="6"/>
      <c r="D604" s="9"/>
      <c r="E604" s="6"/>
      <c r="F604" s="6"/>
      <c r="G604" s="6"/>
      <c r="H604" s="6"/>
      <c r="I604" s="6"/>
    </row>
    <row r="605" ht="12.0" customHeight="1">
      <c r="A605" s="6"/>
      <c r="B605" s="6"/>
      <c r="C605" s="6"/>
      <c r="D605" s="9"/>
      <c r="E605" s="6"/>
      <c r="F605" s="6"/>
      <c r="G605" s="6"/>
      <c r="H605" s="6"/>
      <c r="I605" s="6"/>
    </row>
    <row r="606" ht="12.0" customHeight="1">
      <c r="A606" s="6"/>
      <c r="B606" s="6"/>
      <c r="C606" s="6"/>
      <c r="D606" s="9"/>
      <c r="E606" s="6"/>
      <c r="F606" s="6"/>
      <c r="G606" s="6"/>
      <c r="H606" s="6"/>
      <c r="I606" s="6"/>
    </row>
    <row r="607" ht="12.0" customHeight="1">
      <c r="A607" s="6"/>
      <c r="B607" s="6"/>
      <c r="C607" s="6"/>
      <c r="D607" s="9"/>
      <c r="E607" s="6"/>
      <c r="F607" s="6"/>
      <c r="G607" s="6"/>
      <c r="H607" s="6"/>
      <c r="I607" s="6"/>
    </row>
    <row r="608" ht="12.0" customHeight="1">
      <c r="A608" s="6"/>
      <c r="B608" s="6"/>
      <c r="C608" s="6"/>
      <c r="D608" s="9"/>
      <c r="E608" s="6"/>
      <c r="F608" s="6"/>
      <c r="G608" s="6"/>
      <c r="H608" s="6"/>
      <c r="I608" s="6"/>
    </row>
    <row r="609" ht="12.0" customHeight="1">
      <c r="A609" s="6"/>
      <c r="B609" s="6"/>
      <c r="C609" s="6"/>
      <c r="D609" s="9"/>
      <c r="E609" s="6"/>
      <c r="F609" s="6"/>
      <c r="G609" s="6"/>
      <c r="H609" s="6"/>
      <c r="I609" s="6"/>
    </row>
    <row r="610" ht="12.0" customHeight="1">
      <c r="A610" s="6"/>
      <c r="B610" s="6"/>
      <c r="C610" s="6"/>
      <c r="D610" s="9"/>
      <c r="E610" s="6"/>
      <c r="F610" s="6"/>
      <c r="G610" s="6"/>
      <c r="H610" s="6"/>
      <c r="I610" s="6"/>
    </row>
    <row r="611" ht="12.0" customHeight="1">
      <c r="A611" s="6"/>
      <c r="B611" s="6"/>
      <c r="C611" s="6"/>
      <c r="D611" s="9"/>
      <c r="E611" s="6"/>
      <c r="F611" s="6"/>
      <c r="G611" s="6"/>
      <c r="H611" s="6"/>
      <c r="I611" s="6"/>
    </row>
    <row r="612" ht="12.0" customHeight="1">
      <c r="A612" s="6"/>
      <c r="B612" s="6"/>
      <c r="C612" s="6"/>
      <c r="D612" s="9"/>
      <c r="E612" s="6"/>
      <c r="F612" s="6"/>
      <c r="G612" s="6"/>
      <c r="H612" s="6"/>
      <c r="I612" s="6"/>
    </row>
    <row r="613" ht="12.0" customHeight="1">
      <c r="A613" s="6"/>
      <c r="B613" s="6"/>
      <c r="C613" s="6"/>
      <c r="D613" s="9"/>
      <c r="E613" s="6"/>
      <c r="F613" s="6"/>
      <c r="G613" s="6"/>
      <c r="H613" s="6"/>
      <c r="I613" s="6"/>
    </row>
    <row r="614" ht="12.0" customHeight="1">
      <c r="A614" s="6"/>
      <c r="B614" s="6"/>
      <c r="C614" s="6"/>
      <c r="D614" s="9"/>
      <c r="E614" s="6"/>
      <c r="F614" s="6"/>
      <c r="G614" s="6"/>
      <c r="H614" s="6"/>
      <c r="I614" s="6"/>
    </row>
    <row r="615" ht="12.0" customHeight="1">
      <c r="A615" s="6"/>
      <c r="B615" s="6"/>
      <c r="C615" s="6"/>
      <c r="D615" s="9"/>
      <c r="E615" s="6"/>
      <c r="F615" s="6"/>
      <c r="G615" s="6"/>
      <c r="H615" s="6"/>
      <c r="I615" s="6"/>
    </row>
    <row r="616" ht="12.0" customHeight="1">
      <c r="A616" s="6"/>
      <c r="B616" s="6"/>
      <c r="C616" s="6"/>
      <c r="D616" s="9"/>
      <c r="E616" s="6"/>
      <c r="F616" s="6"/>
      <c r="G616" s="6"/>
      <c r="H616" s="6"/>
      <c r="I616" s="6"/>
    </row>
    <row r="617" ht="12.0" customHeight="1">
      <c r="A617" s="6"/>
      <c r="B617" s="6"/>
      <c r="C617" s="6"/>
      <c r="D617" s="9"/>
      <c r="E617" s="6"/>
      <c r="F617" s="6"/>
      <c r="G617" s="6"/>
      <c r="H617" s="6"/>
      <c r="I617" s="6"/>
    </row>
    <row r="618" ht="12.0" customHeight="1">
      <c r="A618" s="6"/>
      <c r="B618" s="6"/>
      <c r="C618" s="6"/>
      <c r="D618" s="9"/>
      <c r="E618" s="6"/>
      <c r="F618" s="6"/>
      <c r="G618" s="6"/>
      <c r="H618" s="6"/>
      <c r="I618" s="6"/>
    </row>
    <row r="619" ht="12.0" customHeight="1">
      <c r="A619" s="6"/>
      <c r="B619" s="6"/>
      <c r="C619" s="6"/>
      <c r="D619" s="9"/>
      <c r="E619" s="6"/>
      <c r="F619" s="6"/>
      <c r="G619" s="6"/>
      <c r="H619" s="6"/>
      <c r="I619" s="6"/>
    </row>
    <row r="620" ht="12.0" customHeight="1">
      <c r="A620" s="6"/>
      <c r="B620" s="6"/>
      <c r="C620" s="6"/>
      <c r="D620" s="9"/>
      <c r="E620" s="6"/>
      <c r="F620" s="6"/>
      <c r="G620" s="6"/>
      <c r="H620" s="6"/>
      <c r="I620" s="6"/>
    </row>
    <row r="621" ht="12.0" customHeight="1">
      <c r="A621" s="6"/>
      <c r="B621" s="6"/>
      <c r="C621" s="6"/>
      <c r="D621" s="9"/>
      <c r="E621" s="6"/>
      <c r="F621" s="6"/>
      <c r="G621" s="6"/>
      <c r="H621" s="6"/>
      <c r="I621" s="6"/>
    </row>
    <row r="622" ht="12.0" customHeight="1">
      <c r="A622" s="6"/>
      <c r="B622" s="6"/>
      <c r="C622" s="6"/>
      <c r="D622" s="9"/>
      <c r="E622" s="6"/>
      <c r="F622" s="6"/>
      <c r="G622" s="6"/>
      <c r="H622" s="6"/>
      <c r="I622" s="6"/>
    </row>
    <row r="623" ht="12.0" customHeight="1">
      <c r="A623" s="6"/>
      <c r="B623" s="6"/>
      <c r="C623" s="6"/>
      <c r="D623" s="9"/>
      <c r="E623" s="6"/>
      <c r="F623" s="6"/>
      <c r="G623" s="6"/>
      <c r="H623" s="6"/>
      <c r="I623" s="6"/>
    </row>
    <row r="624" ht="12.0" customHeight="1">
      <c r="A624" s="6"/>
      <c r="B624" s="6"/>
      <c r="C624" s="6"/>
      <c r="D624" s="9"/>
      <c r="E624" s="6"/>
      <c r="F624" s="6"/>
      <c r="G624" s="6"/>
      <c r="H624" s="6"/>
      <c r="I624" s="6"/>
    </row>
    <row r="625" ht="12.0" customHeight="1">
      <c r="A625" s="6"/>
      <c r="B625" s="6"/>
      <c r="C625" s="6"/>
      <c r="D625" s="9"/>
      <c r="E625" s="6"/>
      <c r="F625" s="6"/>
      <c r="G625" s="6"/>
      <c r="H625" s="6"/>
      <c r="I625" s="6"/>
    </row>
    <row r="626" ht="12.0" customHeight="1">
      <c r="A626" s="6"/>
      <c r="B626" s="6"/>
      <c r="C626" s="6"/>
      <c r="D626" s="9"/>
      <c r="E626" s="6"/>
      <c r="F626" s="6"/>
      <c r="G626" s="6"/>
      <c r="H626" s="6"/>
      <c r="I626" s="6"/>
    </row>
    <row r="627" ht="12.0" customHeight="1">
      <c r="A627" s="6"/>
      <c r="B627" s="6"/>
      <c r="C627" s="6"/>
      <c r="D627" s="9"/>
      <c r="E627" s="6"/>
      <c r="F627" s="6"/>
      <c r="G627" s="6"/>
      <c r="H627" s="6"/>
      <c r="I627" s="6"/>
    </row>
    <row r="628" ht="12.0" customHeight="1">
      <c r="A628" s="6"/>
      <c r="B628" s="6"/>
      <c r="C628" s="6"/>
      <c r="D628" s="9"/>
      <c r="E628" s="6"/>
      <c r="F628" s="6"/>
      <c r="G628" s="6"/>
      <c r="H628" s="6"/>
      <c r="I628" s="6"/>
    </row>
    <row r="629" ht="12.0" customHeight="1">
      <c r="A629" s="6"/>
      <c r="B629" s="6"/>
      <c r="C629" s="6"/>
      <c r="D629" s="9"/>
      <c r="E629" s="6"/>
      <c r="F629" s="6"/>
      <c r="G629" s="6"/>
      <c r="H629" s="6"/>
      <c r="I629" s="6"/>
    </row>
    <row r="630" ht="12.0" customHeight="1">
      <c r="A630" s="6"/>
      <c r="B630" s="6"/>
      <c r="C630" s="6"/>
      <c r="D630" s="9"/>
      <c r="E630" s="6"/>
      <c r="F630" s="6"/>
      <c r="G630" s="6"/>
      <c r="H630" s="6"/>
      <c r="I630" s="6"/>
    </row>
    <row r="631" ht="12.0" customHeight="1">
      <c r="A631" s="6"/>
      <c r="B631" s="6"/>
      <c r="C631" s="6"/>
      <c r="D631" s="9"/>
      <c r="E631" s="6"/>
      <c r="F631" s="6"/>
      <c r="G631" s="6"/>
      <c r="H631" s="6"/>
      <c r="I631" s="6"/>
    </row>
    <row r="632" ht="12.0" customHeight="1">
      <c r="A632" s="6"/>
      <c r="B632" s="6"/>
      <c r="C632" s="6"/>
      <c r="D632" s="9"/>
      <c r="E632" s="6"/>
      <c r="F632" s="6"/>
      <c r="G632" s="6"/>
      <c r="H632" s="6"/>
      <c r="I632" s="6"/>
    </row>
    <row r="633" ht="12.0" customHeight="1">
      <c r="A633" s="6"/>
      <c r="B633" s="6"/>
      <c r="C633" s="6"/>
      <c r="D633" s="9"/>
      <c r="E633" s="6"/>
      <c r="F633" s="6"/>
      <c r="G633" s="6"/>
      <c r="H633" s="6"/>
      <c r="I633" s="6"/>
    </row>
    <row r="634" ht="12.0" customHeight="1">
      <c r="A634" s="6"/>
      <c r="B634" s="6"/>
      <c r="C634" s="6"/>
      <c r="D634" s="9"/>
      <c r="E634" s="6"/>
      <c r="F634" s="6"/>
      <c r="G634" s="6"/>
      <c r="H634" s="6"/>
      <c r="I634" s="6"/>
    </row>
    <row r="635" ht="12.0" customHeight="1">
      <c r="A635" s="6"/>
      <c r="B635" s="6"/>
      <c r="C635" s="6"/>
      <c r="D635" s="9"/>
      <c r="E635" s="6"/>
      <c r="F635" s="6"/>
      <c r="G635" s="6"/>
      <c r="H635" s="6"/>
      <c r="I635" s="6"/>
    </row>
    <row r="636" ht="12.0" customHeight="1">
      <c r="A636" s="6"/>
      <c r="B636" s="6"/>
      <c r="C636" s="6"/>
      <c r="D636" s="9"/>
      <c r="E636" s="6"/>
      <c r="F636" s="6"/>
      <c r="G636" s="6"/>
      <c r="H636" s="6"/>
      <c r="I636" s="6"/>
    </row>
    <row r="637" ht="12.0" customHeight="1">
      <c r="A637" s="6"/>
      <c r="B637" s="6"/>
      <c r="C637" s="6"/>
      <c r="D637" s="9"/>
      <c r="E637" s="6"/>
      <c r="F637" s="6"/>
      <c r="G637" s="6"/>
      <c r="H637" s="6"/>
      <c r="I637" s="6"/>
    </row>
    <row r="638" ht="12.0" customHeight="1">
      <c r="A638" s="6"/>
      <c r="B638" s="6"/>
      <c r="C638" s="6"/>
      <c r="D638" s="9"/>
      <c r="E638" s="6"/>
      <c r="F638" s="6"/>
      <c r="G638" s="6"/>
      <c r="H638" s="6"/>
      <c r="I638" s="6"/>
    </row>
    <row r="639" ht="12.0" customHeight="1">
      <c r="A639" s="6"/>
      <c r="B639" s="6"/>
      <c r="C639" s="6"/>
      <c r="D639" s="9"/>
      <c r="E639" s="6"/>
      <c r="F639" s="6"/>
      <c r="G639" s="6"/>
      <c r="H639" s="6"/>
      <c r="I639" s="6"/>
    </row>
    <row r="640" ht="12.0" customHeight="1">
      <c r="A640" s="6"/>
      <c r="B640" s="6"/>
      <c r="C640" s="6"/>
      <c r="D640" s="9"/>
      <c r="E640" s="6"/>
      <c r="F640" s="6"/>
      <c r="G640" s="6"/>
      <c r="H640" s="6"/>
      <c r="I640" s="6"/>
    </row>
    <row r="641" ht="12.0" customHeight="1">
      <c r="A641" s="6"/>
      <c r="B641" s="6"/>
      <c r="C641" s="6"/>
      <c r="D641" s="9"/>
      <c r="E641" s="6"/>
      <c r="F641" s="6"/>
      <c r="G641" s="6"/>
      <c r="H641" s="6"/>
      <c r="I641" s="6"/>
    </row>
    <row r="642" ht="12.0" customHeight="1">
      <c r="A642" s="6"/>
      <c r="B642" s="6"/>
      <c r="C642" s="6"/>
      <c r="D642" s="9"/>
      <c r="E642" s="6"/>
      <c r="F642" s="6"/>
      <c r="G642" s="6"/>
      <c r="H642" s="6"/>
      <c r="I642" s="6"/>
    </row>
    <row r="643" ht="12.0" customHeight="1">
      <c r="A643" s="6"/>
      <c r="B643" s="6"/>
      <c r="C643" s="6"/>
      <c r="D643" s="9"/>
      <c r="E643" s="6"/>
      <c r="F643" s="6"/>
      <c r="G643" s="6"/>
      <c r="H643" s="6"/>
      <c r="I643" s="6"/>
    </row>
    <row r="644" ht="12.0" customHeight="1">
      <c r="A644" s="6"/>
      <c r="B644" s="6"/>
      <c r="C644" s="6"/>
      <c r="D644" s="9"/>
      <c r="E644" s="6"/>
      <c r="F644" s="6"/>
      <c r="G644" s="6"/>
      <c r="H644" s="6"/>
      <c r="I644" s="6"/>
    </row>
    <row r="645" ht="12.0" customHeight="1">
      <c r="A645" s="6"/>
      <c r="B645" s="6"/>
      <c r="C645" s="6"/>
      <c r="D645" s="9"/>
      <c r="E645" s="6"/>
      <c r="F645" s="6"/>
      <c r="G645" s="6"/>
      <c r="H645" s="6"/>
      <c r="I645" s="6"/>
    </row>
    <row r="646" ht="12.0" customHeight="1">
      <c r="A646" s="6"/>
      <c r="B646" s="6"/>
      <c r="C646" s="6"/>
      <c r="D646" s="9"/>
      <c r="E646" s="6"/>
      <c r="F646" s="6"/>
      <c r="G646" s="6"/>
      <c r="H646" s="6"/>
      <c r="I646" s="6"/>
    </row>
    <row r="647" ht="12.0" customHeight="1">
      <c r="A647" s="6"/>
      <c r="B647" s="6"/>
      <c r="C647" s="6"/>
      <c r="D647" s="9"/>
      <c r="E647" s="6"/>
      <c r="F647" s="6"/>
      <c r="G647" s="6"/>
      <c r="H647" s="6"/>
      <c r="I647" s="6"/>
    </row>
    <row r="648" ht="12.0" customHeight="1">
      <c r="A648" s="6"/>
      <c r="B648" s="6"/>
      <c r="C648" s="6"/>
      <c r="D648" s="9"/>
      <c r="E648" s="6"/>
      <c r="F648" s="6"/>
      <c r="G648" s="6"/>
      <c r="H648" s="6"/>
      <c r="I648" s="6"/>
    </row>
    <row r="649" ht="12.0" customHeight="1">
      <c r="A649" s="6"/>
      <c r="B649" s="6"/>
      <c r="C649" s="6"/>
      <c r="D649" s="9"/>
      <c r="E649" s="6"/>
      <c r="F649" s="6"/>
      <c r="G649" s="6"/>
      <c r="H649" s="6"/>
      <c r="I649" s="6"/>
    </row>
    <row r="650" ht="12.0" customHeight="1">
      <c r="A650" s="6"/>
      <c r="B650" s="6"/>
      <c r="C650" s="6"/>
      <c r="D650" s="9"/>
      <c r="E650" s="6"/>
      <c r="F650" s="6"/>
      <c r="G650" s="6"/>
      <c r="H650" s="6"/>
      <c r="I650" s="6"/>
    </row>
    <row r="651" ht="12.0" customHeight="1">
      <c r="A651" s="6"/>
      <c r="B651" s="6"/>
      <c r="C651" s="6"/>
      <c r="D651" s="9"/>
      <c r="E651" s="6"/>
      <c r="F651" s="6"/>
      <c r="G651" s="6"/>
      <c r="H651" s="6"/>
      <c r="I651" s="6"/>
    </row>
    <row r="652" ht="12.0" customHeight="1">
      <c r="A652" s="6"/>
      <c r="B652" s="6"/>
      <c r="C652" s="6"/>
      <c r="D652" s="9"/>
      <c r="E652" s="6"/>
      <c r="F652" s="6"/>
      <c r="G652" s="6"/>
      <c r="H652" s="6"/>
      <c r="I652" s="6"/>
    </row>
    <row r="653" ht="12.0" customHeight="1">
      <c r="A653" s="6"/>
      <c r="B653" s="6"/>
      <c r="C653" s="6"/>
      <c r="D653" s="9"/>
      <c r="E653" s="6"/>
      <c r="F653" s="6"/>
      <c r="G653" s="6"/>
      <c r="H653" s="6"/>
      <c r="I653" s="6"/>
    </row>
    <row r="654" ht="12.0" customHeight="1">
      <c r="A654" s="6"/>
      <c r="B654" s="6"/>
      <c r="C654" s="6"/>
      <c r="D654" s="9"/>
      <c r="E654" s="6"/>
      <c r="F654" s="6"/>
      <c r="G654" s="6"/>
      <c r="H654" s="6"/>
      <c r="I654" s="6"/>
    </row>
    <row r="655" ht="12.0" customHeight="1">
      <c r="A655" s="6"/>
      <c r="B655" s="6"/>
      <c r="C655" s="6"/>
      <c r="D655" s="9"/>
      <c r="E655" s="6"/>
      <c r="F655" s="6"/>
      <c r="G655" s="6"/>
      <c r="H655" s="6"/>
      <c r="I655" s="6"/>
    </row>
    <row r="656" ht="12.0" customHeight="1">
      <c r="A656" s="6"/>
      <c r="B656" s="6"/>
      <c r="C656" s="6"/>
      <c r="D656" s="9"/>
      <c r="E656" s="6"/>
      <c r="F656" s="6"/>
      <c r="G656" s="6"/>
      <c r="H656" s="6"/>
      <c r="I656" s="6"/>
    </row>
    <row r="657" ht="12.0" customHeight="1">
      <c r="A657" s="6"/>
      <c r="B657" s="6"/>
      <c r="C657" s="6"/>
      <c r="D657" s="9"/>
      <c r="E657" s="6"/>
      <c r="F657" s="6"/>
      <c r="G657" s="6"/>
      <c r="H657" s="6"/>
      <c r="I657" s="6"/>
    </row>
    <row r="658" ht="12.0" customHeight="1">
      <c r="A658" s="6"/>
      <c r="B658" s="6"/>
      <c r="C658" s="6"/>
      <c r="D658" s="9"/>
      <c r="E658" s="6"/>
      <c r="F658" s="6"/>
      <c r="G658" s="6"/>
      <c r="H658" s="6"/>
      <c r="I658" s="6"/>
    </row>
    <row r="659" ht="12.0" customHeight="1">
      <c r="A659" s="6"/>
      <c r="B659" s="6"/>
      <c r="C659" s="6"/>
      <c r="D659" s="9"/>
      <c r="E659" s="6"/>
      <c r="F659" s="6"/>
      <c r="G659" s="6"/>
      <c r="H659" s="6"/>
      <c r="I659" s="6"/>
    </row>
    <row r="660" ht="12.0" customHeight="1">
      <c r="A660" s="6"/>
      <c r="B660" s="6"/>
      <c r="C660" s="6"/>
      <c r="D660" s="9"/>
      <c r="E660" s="6"/>
      <c r="F660" s="6"/>
      <c r="G660" s="6"/>
      <c r="H660" s="6"/>
      <c r="I660" s="6"/>
    </row>
    <row r="661" ht="12.0" customHeight="1">
      <c r="A661" s="6"/>
      <c r="B661" s="6"/>
      <c r="C661" s="6"/>
      <c r="D661" s="9"/>
      <c r="E661" s="6"/>
      <c r="F661" s="6"/>
      <c r="G661" s="6"/>
      <c r="H661" s="6"/>
      <c r="I661" s="6"/>
    </row>
    <row r="662" ht="12.0" customHeight="1">
      <c r="A662" s="6"/>
      <c r="B662" s="6"/>
      <c r="C662" s="6"/>
      <c r="D662" s="9"/>
      <c r="E662" s="6"/>
      <c r="F662" s="6"/>
      <c r="G662" s="6"/>
      <c r="H662" s="6"/>
      <c r="I662" s="6"/>
    </row>
    <row r="663" ht="12.0" customHeight="1">
      <c r="A663" s="6"/>
      <c r="B663" s="6"/>
      <c r="C663" s="6"/>
      <c r="D663" s="9"/>
      <c r="E663" s="6"/>
      <c r="F663" s="6"/>
      <c r="G663" s="6"/>
      <c r="H663" s="6"/>
      <c r="I663" s="6"/>
    </row>
    <row r="664" ht="12.0" customHeight="1">
      <c r="A664" s="6"/>
      <c r="B664" s="6"/>
      <c r="C664" s="6"/>
      <c r="D664" s="9"/>
      <c r="E664" s="6"/>
      <c r="F664" s="6"/>
      <c r="G664" s="6"/>
      <c r="H664" s="6"/>
      <c r="I664" s="6"/>
    </row>
    <row r="665" ht="12.0" customHeight="1">
      <c r="A665" s="6"/>
      <c r="B665" s="6"/>
      <c r="C665" s="6"/>
      <c r="D665" s="9"/>
      <c r="E665" s="6"/>
      <c r="F665" s="6"/>
      <c r="G665" s="6"/>
      <c r="H665" s="6"/>
      <c r="I665" s="6"/>
    </row>
    <row r="666" ht="12.0" customHeight="1">
      <c r="A666" s="6"/>
      <c r="B666" s="6"/>
      <c r="C666" s="6"/>
      <c r="D666" s="9"/>
      <c r="E666" s="6"/>
      <c r="F666" s="6"/>
      <c r="G666" s="6"/>
      <c r="H666" s="6"/>
      <c r="I666" s="6"/>
    </row>
    <row r="667" ht="12.0" customHeight="1">
      <c r="A667" s="6"/>
      <c r="B667" s="6"/>
      <c r="C667" s="6"/>
      <c r="D667" s="9"/>
      <c r="E667" s="6"/>
      <c r="F667" s="6"/>
      <c r="G667" s="6"/>
      <c r="H667" s="6"/>
      <c r="I667" s="6"/>
    </row>
    <row r="668" ht="12.0" customHeight="1">
      <c r="A668" s="6"/>
      <c r="B668" s="6"/>
      <c r="C668" s="6"/>
      <c r="D668" s="9"/>
      <c r="E668" s="6"/>
      <c r="F668" s="6"/>
      <c r="G668" s="6"/>
      <c r="H668" s="6"/>
      <c r="I668" s="6"/>
    </row>
    <row r="669" ht="12.0" customHeight="1">
      <c r="A669" s="6"/>
      <c r="B669" s="6"/>
      <c r="C669" s="6"/>
      <c r="D669" s="9"/>
      <c r="E669" s="6"/>
      <c r="F669" s="6"/>
      <c r="G669" s="6"/>
      <c r="H669" s="6"/>
      <c r="I669" s="6"/>
    </row>
    <row r="670" ht="12.0" customHeight="1">
      <c r="A670" s="6"/>
      <c r="B670" s="6"/>
      <c r="C670" s="6"/>
      <c r="D670" s="9"/>
      <c r="E670" s="6"/>
      <c r="F670" s="6"/>
      <c r="G670" s="6"/>
      <c r="H670" s="6"/>
      <c r="I670" s="6"/>
    </row>
    <row r="671" ht="12.0" customHeight="1">
      <c r="A671" s="6"/>
      <c r="B671" s="6"/>
      <c r="C671" s="6"/>
      <c r="D671" s="9"/>
      <c r="E671" s="6"/>
      <c r="F671" s="6"/>
      <c r="G671" s="6"/>
      <c r="H671" s="6"/>
      <c r="I671" s="6"/>
    </row>
    <row r="672" ht="12.0" customHeight="1">
      <c r="A672" s="6"/>
      <c r="B672" s="6"/>
      <c r="C672" s="6"/>
      <c r="D672" s="9"/>
      <c r="E672" s="6"/>
      <c r="F672" s="6"/>
      <c r="G672" s="6"/>
      <c r="H672" s="6"/>
      <c r="I672" s="6"/>
    </row>
    <row r="673" ht="12.0" customHeight="1">
      <c r="A673" s="6"/>
      <c r="B673" s="6"/>
      <c r="C673" s="6"/>
      <c r="D673" s="9"/>
      <c r="E673" s="6"/>
      <c r="F673" s="6"/>
      <c r="G673" s="6"/>
      <c r="H673" s="6"/>
      <c r="I673" s="6"/>
    </row>
    <row r="674" ht="12.0" customHeight="1">
      <c r="A674" s="6"/>
      <c r="B674" s="6"/>
      <c r="C674" s="6"/>
      <c r="D674" s="9"/>
      <c r="E674" s="6"/>
      <c r="F674" s="6"/>
      <c r="G674" s="6"/>
      <c r="H674" s="6"/>
      <c r="I674" s="6"/>
    </row>
    <row r="675" ht="12.0" customHeight="1">
      <c r="A675" s="6"/>
      <c r="B675" s="6"/>
      <c r="C675" s="6"/>
      <c r="D675" s="9"/>
      <c r="E675" s="6"/>
      <c r="F675" s="6"/>
      <c r="G675" s="6"/>
      <c r="H675" s="6"/>
      <c r="I675" s="6"/>
    </row>
    <row r="676" ht="12.0" customHeight="1">
      <c r="A676" s="6"/>
      <c r="B676" s="6"/>
      <c r="C676" s="6"/>
      <c r="D676" s="9"/>
      <c r="E676" s="6"/>
      <c r="F676" s="6"/>
      <c r="G676" s="6"/>
      <c r="H676" s="6"/>
      <c r="I676" s="6"/>
    </row>
    <row r="677" ht="12.0" customHeight="1">
      <c r="A677" s="6"/>
      <c r="B677" s="6"/>
      <c r="C677" s="6"/>
      <c r="D677" s="9"/>
      <c r="E677" s="6"/>
      <c r="F677" s="6"/>
      <c r="G677" s="6"/>
      <c r="H677" s="6"/>
      <c r="I677" s="6"/>
    </row>
    <row r="678" ht="12.0" customHeight="1">
      <c r="A678" s="6"/>
      <c r="B678" s="6"/>
      <c r="C678" s="6"/>
      <c r="D678" s="9"/>
      <c r="E678" s="6"/>
      <c r="F678" s="6"/>
      <c r="G678" s="6"/>
      <c r="H678" s="6"/>
      <c r="I678" s="6"/>
    </row>
    <row r="679" ht="12.0" customHeight="1">
      <c r="A679" s="6"/>
      <c r="B679" s="6"/>
      <c r="C679" s="6"/>
      <c r="D679" s="9"/>
      <c r="E679" s="6"/>
      <c r="F679" s="6"/>
      <c r="G679" s="6"/>
      <c r="H679" s="6"/>
      <c r="I679" s="6"/>
    </row>
    <row r="680" ht="12.0" customHeight="1">
      <c r="A680" s="6"/>
      <c r="B680" s="6"/>
      <c r="C680" s="6"/>
      <c r="D680" s="9"/>
      <c r="E680" s="6"/>
      <c r="F680" s="6"/>
      <c r="G680" s="6"/>
      <c r="H680" s="6"/>
      <c r="I680" s="6"/>
    </row>
    <row r="681" ht="12.0" customHeight="1">
      <c r="A681" s="6"/>
      <c r="B681" s="6"/>
      <c r="C681" s="6"/>
      <c r="D681" s="9"/>
      <c r="E681" s="6"/>
      <c r="F681" s="6"/>
      <c r="G681" s="6"/>
      <c r="H681" s="6"/>
      <c r="I681" s="6"/>
    </row>
    <row r="682" ht="12.0" customHeight="1">
      <c r="A682" s="6"/>
      <c r="B682" s="6"/>
      <c r="C682" s="6"/>
      <c r="D682" s="9"/>
      <c r="E682" s="6"/>
      <c r="F682" s="6"/>
      <c r="G682" s="6"/>
      <c r="H682" s="6"/>
      <c r="I682" s="6"/>
    </row>
    <row r="683" ht="12.0" customHeight="1">
      <c r="A683" s="6"/>
      <c r="B683" s="6"/>
      <c r="C683" s="6"/>
      <c r="D683" s="9"/>
      <c r="E683" s="6"/>
      <c r="F683" s="6"/>
      <c r="G683" s="6"/>
      <c r="H683" s="6"/>
      <c r="I683" s="6"/>
    </row>
    <row r="684" ht="12.0" customHeight="1">
      <c r="A684" s="6"/>
      <c r="B684" s="6"/>
      <c r="C684" s="6"/>
      <c r="D684" s="9"/>
      <c r="E684" s="6"/>
      <c r="F684" s="6"/>
      <c r="G684" s="6"/>
      <c r="H684" s="6"/>
      <c r="I684" s="6"/>
    </row>
    <row r="685" ht="12.0" customHeight="1">
      <c r="A685" s="6"/>
      <c r="B685" s="6"/>
      <c r="C685" s="6"/>
      <c r="D685" s="9"/>
      <c r="E685" s="6"/>
      <c r="F685" s="6"/>
      <c r="G685" s="6"/>
      <c r="H685" s="6"/>
      <c r="I685" s="6"/>
    </row>
    <row r="686" ht="12.0" customHeight="1">
      <c r="A686" s="6"/>
      <c r="B686" s="6"/>
      <c r="C686" s="6"/>
      <c r="D686" s="9"/>
      <c r="E686" s="6"/>
      <c r="F686" s="6"/>
      <c r="G686" s="6"/>
      <c r="H686" s="6"/>
      <c r="I686" s="6"/>
    </row>
    <row r="687" ht="12.0" customHeight="1">
      <c r="A687" s="6"/>
      <c r="B687" s="6"/>
      <c r="C687" s="6"/>
      <c r="D687" s="9"/>
      <c r="E687" s="6"/>
      <c r="F687" s="6"/>
      <c r="G687" s="6"/>
      <c r="H687" s="6"/>
      <c r="I687" s="6"/>
    </row>
    <row r="688" ht="12.0" customHeight="1">
      <c r="A688" s="6"/>
      <c r="B688" s="6"/>
      <c r="C688" s="6"/>
      <c r="D688" s="9"/>
      <c r="E688" s="6"/>
      <c r="F688" s="6"/>
      <c r="G688" s="6"/>
      <c r="H688" s="6"/>
      <c r="I688" s="6"/>
    </row>
    <row r="689" ht="12.0" customHeight="1">
      <c r="A689" s="6"/>
      <c r="B689" s="6"/>
      <c r="C689" s="6"/>
      <c r="D689" s="9"/>
      <c r="E689" s="6"/>
      <c r="F689" s="6"/>
      <c r="G689" s="6"/>
      <c r="H689" s="6"/>
      <c r="I689" s="6"/>
    </row>
    <row r="690" ht="12.0" customHeight="1">
      <c r="A690" s="6"/>
      <c r="B690" s="6"/>
      <c r="C690" s="6"/>
      <c r="D690" s="9"/>
      <c r="E690" s="6"/>
      <c r="F690" s="6"/>
      <c r="G690" s="6"/>
      <c r="H690" s="6"/>
      <c r="I690" s="6"/>
    </row>
    <row r="691" ht="12.0" customHeight="1">
      <c r="A691" s="6"/>
      <c r="B691" s="6"/>
      <c r="C691" s="6"/>
      <c r="D691" s="9"/>
      <c r="E691" s="6"/>
      <c r="F691" s="6"/>
      <c r="G691" s="6"/>
      <c r="H691" s="6"/>
      <c r="I691" s="6"/>
    </row>
    <row r="692" ht="12.0" customHeight="1">
      <c r="A692" s="6"/>
      <c r="B692" s="6"/>
      <c r="C692" s="6"/>
      <c r="D692" s="9"/>
      <c r="E692" s="6"/>
      <c r="F692" s="6"/>
      <c r="G692" s="6"/>
      <c r="H692" s="6"/>
      <c r="I692" s="6"/>
    </row>
    <row r="693" ht="12.0" customHeight="1">
      <c r="A693" s="6"/>
      <c r="B693" s="6"/>
      <c r="C693" s="6"/>
      <c r="D693" s="9"/>
      <c r="E693" s="6"/>
      <c r="F693" s="6"/>
      <c r="G693" s="6"/>
      <c r="H693" s="6"/>
      <c r="I693" s="6"/>
    </row>
    <row r="694" ht="12.0" customHeight="1">
      <c r="A694" s="6"/>
      <c r="B694" s="6"/>
      <c r="C694" s="6"/>
      <c r="D694" s="9"/>
      <c r="E694" s="6"/>
      <c r="F694" s="6"/>
      <c r="G694" s="6"/>
      <c r="H694" s="6"/>
      <c r="I694" s="6"/>
    </row>
    <row r="695" ht="12.0" customHeight="1">
      <c r="A695" s="6"/>
      <c r="B695" s="6"/>
      <c r="C695" s="6"/>
      <c r="D695" s="9"/>
      <c r="E695" s="6"/>
      <c r="F695" s="6"/>
      <c r="G695" s="6"/>
      <c r="H695" s="6"/>
      <c r="I695" s="6"/>
    </row>
    <row r="696" ht="12.0" customHeight="1">
      <c r="A696" s="6"/>
      <c r="B696" s="6"/>
      <c r="C696" s="6"/>
      <c r="D696" s="9"/>
      <c r="E696" s="6"/>
      <c r="F696" s="6"/>
      <c r="G696" s="6"/>
      <c r="H696" s="6"/>
      <c r="I696" s="6"/>
    </row>
    <row r="697" ht="12.0" customHeight="1">
      <c r="A697" s="6"/>
      <c r="B697" s="6"/>
      <c r="C697" s="6"/>
      <c r="D697" s="9"/>
      <c r="E697" s="6"/>
      <c r="F697" s="6"/>
      <c r="G697" s="6"/>
      <c r="H697" s="6"/>
      <c r="I697" s="6"/>
    </row>
    <row r="698" ht="12.0" customHeight="1">
      <c r="A698" s="6"/>
      <c r="B698" s="6"/>
      <c r="C698" s="6"/>
      <c r="D698" s="9"/>
      <c r="E698" s="6"/>
      <c r="F698" s="6"/>
      <c r="G698" s="6"/>
      <c r="H698" s="6"/>
      <c r="I698" s="6"/>
    </row>
    <row r="699" ht="12.0" customHeight="1">
      <c r="A699" s="6"/>
      <c r="B699" s="6"/>
      <c r="C699" s="6"/>
      <c r="D699" s="9"/>
      <c r="E699" s="6"/>
      <c r="F699" s="6"/>
      <c r="G699" s="6"/>
      <c r="H699" s="6"/>
      <c r="I699" s="6"/>
    </row>
    <row r="700" ht="12.0" customHeight="1">
      <c r="A700" s="6"/>
      <c r="B700" s="6"/>
      <c r="C700" s="6"/>
      <c r="D700" s="9"/>
      <c r="E700" s="6"/>
      <c r="F700" s="6"/>
      <c r="G700" s="6"/>
      <c r="H700" s="6"/>
      <c r="I700" s="6"/>
    </row>
    <row r="701" ht="12.0" customHeight="1">
      <c r="A701" s="6"/>
      <c r="B701" s="6"/>
      <c r="C701" s="6"/>
      <c r="D701" s="9"/>
      <c r="E701" s="6"/>
      <c r="F701" s="6"/>
      <c r="G701" s="6"/>
      <c r="H701" s="6"/>
      <c r="I701" s="6"/>
    </row>
    <row r="702" ht="12.0" customHeight="1">
      <c r="A702" s="6"/>
      <c r="B702" s="6"/>
      <c r="C702" s="6"/>
      <c r="D702" s="9"/>
      <c r="E702" s="6"/>
      <c r="F702" s="6"/>
      <c r="G702" s="6"/>
      <c r="H702" s="6"/>
      <c r="I702" s="6"/>
    </row>
    <row r="703" ht="12.0" customHeight="1">
      <c r="A703" s="6"/>
      <c r="B703" s="6"/>
      <c r="C703" s="6"/>
      <c r="D703" s="9"/>
      <c r="E703" s="6"/>
      <c r="F703" s="6"/>
      <c r="G703" s="6"/>
      <c r="H703" s="6"/>
      <c r="I703" s="6"/>
    </row>
    <row r="704" ht="12.0" customHeight="1">
      <c r="A704" s="6"/>
      <c r="B704" s="6"/>
      <c r="C704" s="6"/>
      <c r="D704" s="9"/>
      <c r="E704" s="6"/>
      <c r="F704" s="6"/>
      <c r="G704" s="6"/>
      <c r="H704" s="6"/>
      <c r="I704" s="6"/>
    </row>
    <row r="705" ht="12.0" customHeight="1">
      <c r="A705" s="6"/>
      <c r="B705" s="6"/>
      <c r="C705" s="6"/>
      <c r="D705" s="9"/>
      <c r="E705" s="6"/>
      <c r="F705" s="6"/>
      <c r="G705" s="6"/>
      <c r="H705" s="6"/>
      <c r="I705" s="6"/>
    </row>
    <row r="706" ht="12.0" customHeight="1">
      <c r="A706" s="6"/>
      <c r="B706" s="6"/>
      <c r="C706" s="6"/>
      <c r="D706" s="9"/>
      <c r="E706" s="6"/>
      <c r="F706" s="6"/>
      <c r="G706" s="6"/>
      <c r="H706" s="6"/>
      <c r="I706" s="6"/>
    </row>
    <row r="707" ht="12.0" customHeight="1">
      <c r="A707" s="6"/>
      <c r="B707" s="6"/>
      <c r="C707" s="6"/>
      <c r="D707" s="9"/>
      <c r="E707" s="6"/>
      <c r="F707" s="6"/>
      <c r="G707" s="6"/>
      <c r="H707" s="6"/>
      <c r="I707" s="6"/>
    </row>
    <row r="708" ht="12.0" customHeight="1">
      <c r="A708" s="6"/>
      <c r="B708" s="6"/>
      <c r="C708" s="6"/>
      <c r="D708" s="9"/>
      <c r="E708" s="6"/>
      <c r="F708" s="6"/>
      <c r="G708" s="6"/>
      <c r="H708" s="6"/>
      <c r="I708" s="6"/>
    </row>
    <row r="709" ht="12.0" customHeight="1">
      <c r="A709" s="6"/>
      <c r="B709" s="6"/>
      <c r="C709" s="6"/>
      <c r="D709" s="9"/>
      <c r="E709" s="6"/>
      <c r="F709" s="6"/>
      <c r="G709" s="6"/>
      <c r="H709" s="6"/>
      <c r="I709" s="6"/>
    </row>
    <row r="710" ht="12.0" customHeight="1">
      <c r="A710" s="6"/>
      <c r="B710" s="6"/>
      <c r="C710" s="6"/>
      <c r="D710" s="9"/>
      <c r="E710" s="6"/>
      <c r="F710" s="6"/>
      <c r="G710" s="6"/>
      <c r="H710" s="6"/>
      <c r="I710" s="6"/>
    </row>
    <row r="711" ht="12.0" customHeight="1">
      <c r="A711" s="6"/>
      <c r="B711" s="6"/>
      <c r="C711" s="6"/>
      <c r="D711" s="9"/>
      <c r="E711" s="6"/>
      <c r="F711" s="6"/>
      <c r="G711" s="6"/>
      <c r="H711" s="6"/>
      <c r="I711" s="6"/>
    </row>
    <row r="712" ht="12.0" customHeight="1">
      <c r="A712" s="6"/>
      <c r="B712" s="6"/>
      <c r="C712" s="6"/>
      <c r="D712" s="9"/>
      <c r="E712" s="6"/>
      <c r="F712" s="6"/>
      <c r="G712" s="6"/>
      <c r="H712" s="6"/>
      <c r="I712" s="6"/>
    </row>
    <row r="713" ht="12.0" customHeight="1">
      <c r="A713" s="6"/>
      <c r="B713" s="6"/>
      <c r="C713" s="6"/>
      <c r="D713" s="9"/>
      <c r="E713" s="6"/>
      <c r="F713" s="6"/>
      <c r="G713" s="6"/>
      <c r="H713" s="6"/>
      <c r="I713" s="6"/>
    </row>
    <row r="714" ht="12.0" customHeight="1">
      <c r="A714" s="6"/>
      <c r="B714" s="6"/>
      <c r="C714" s="6"/>
      <c r="D714" s="9"/>
      <c r="E714" s="6"/>
      <c r="F714" s="6"/>
      <c r="G714" s="6"/>
      <c r="H714" s="6"/>
      <c r="I714" s="6"/>
    </row>
    <row r="715" ht="12.0" customHeight="1">
      <c r="A715" s="6"/>
      <c r="B715" s="6"/>
      <c r="C715" s="6"/>
      <c r="D715" s="9"/>
      <c r="E715" s="6"/>
      <c r="F715" s="6"/>
      <c r="G715" s="6"/>
      <c r="H715" s="6"/>
      <c r="I715" s="6"/>
    </row>
    <row r="716" ht="12.0" customHeight="1">
      <c r="A716" s="6"/>
      <c r="B716" s="6"/>
      <c r="C716" s="6"/>
      <c r="D716" s="9"/>
      <c r="E716" s="6"/>
      <c r="F716" s="6"/>
      <c r="G716" s="6"/>
      <c r="H716" s="6"/>
      <c r="I716" s="6"/>
    </row>
    <row r="717" ht="12.0" customHeight="1">
      <c r="A717" s="6"/>
      <c r="B717" s="6"/>
      <c r="C717" s="6"/>
      <c r="D717" s="9"/>
      <c r="E717" s="6"/>
      <c r="F717" s="6"/>
      <c r="G717" s="6"/>
      <c r="H717" s="6"/>
      <c r="I717" s="6"/>
    </row>
    <row r="718" ht="12.0" customHeight="1">
      <c r="A718" s="6"/>
      <c r="B718" s="6"/>
      <c r="C718" s="6"/>
      <c r="D718" s="9"/>
      <c r="E718" s="6"/>
      <c r="F718" s="6"/>
      <c r="G718" s="6"/>
      <c r="H718" s="6"/>
      <c r="I718" s="6"/>
    </row>
    <row r="719" ht="12.0" customHeight="1">
      <c r="A719" s="6"/>
      <c r="B719" s="6"/>
      <c r="C719" s="6"/>
      <c r="D719" s="9"/>
      <c r="E719" s="6"/>
      <c r="F719" s="6"/>
      <c r="G719" s="6"/>
      <c r="H719" s="6"/>
      <c r="I719" s="6"/>
    </row>
    <row r="720" ht="12.0" customHeight="1">
      <c r="A720" s="6"/>
      <c r="B720" s="6"/>
      <c r="C720" s="6"/>
      <c r="D720" s="9"/>
      <c r="E720" s="6"/>
      <c r="F720" s="6"/>
      <c r="G720" s="6"/>
      <c r="H720" s="6"/>
      <c r="I720" s="6"/>
    </row>
    <row r="721" ht="12.0" customHeight="1">
      <c r="A721" s="6"/>
      <c r="B721" s="6"/>
      <c r="C721" s="6"/>
      <c r="D721" s="9"/>
      <c r="E721" s="6"/>
      <c r="F721" s="6"/>
      <c r="G721" s="6"/>
      <c r="H721" s="6"/>
      <c r="I721" s="6"/>
    </row>
    <row r="722" ht="12.0" customHeight="1">
      <c r="A722" s="6"/>
      <c r="B722" s="6"/>
      <c r="C722" s="6"/>
      <c r="D722" s="9"/>
      <c r="E722" s="6"/>
      <c r="F722" s="6"/>
      <c r="G722" s="6"/>
      <c r="H722" s="6"/>
      <c r="I722" s="6"/>
    </row>
    <row r="723" ht="12.0" customHeight="1">
      <c r="A723" s="6"/>
      <c r="B723" s="6"/>
      <c r="C723" s="6"/>
      <c r="D723" s="9"/>
      <c r="E723" s="6"/>
      <c r="F723" s="6"/>
      <c r="G723" s="6"/>
      <c r="H723" s="6"/>
      <c r="I723" s="6"/>
    </row>
    <row r="724" ht="12.0" customHeight="1">
      <c r="A724" s="6"/>
      <c r="B724" s="6"/>
      <c r="C724" s="6"/>
      <c r="D724" s="9"/>
      <c r="E724" s="6"/>
      <c r="F724" s="6"/>
      <c r="G724" s="6"/>
      <c r="H724" s="6"/>
      <c r="I724" s="6"/>
    </row>
    <row r="725" ht="12.0" customHeight="1">
      <c r="A725" s="6"/>
      <c r="B725" s="6"/>
      <c r="C725" s="6"/>
      <c r="D725" s="9"/>
      <c r="E725" s="6"/>
      <c r="F725" s="6"/>
      <c r="G725" s="6"/>
      <c r="H725" s="6"/>
      <c r="I725" s="6"/>
    </row>
    <row r="726" ht="12.0" customHeight="1">
      <c r="A726" s="6"/>
      <c r="B726" s="6"/>
      <c r="C726" s="6"/>
      <c r="D726" s="9"/>
      <c r="E726" s="6"/>
      <c r="F726" s="6"/>
      <c r="G726" s="6"/>
      <c r="H726" s="6"/>
      <c r="I726" s="6"/>
    </row>
    <row r="727" ht="12.0" customHeight="1">
      <c r="A727" s="6"/>
      <c r="B727" s="6"/>
      <c r="C727" s="6"/>
      <c r="D727" s="9"/>
      <c r="E727" s="6"/>
      <c r="F727" s="6"/>
      <c r="G727" s="6"/>
      <c r="H727" s="6"/>
      <c r="I727" s="6"/>
    </row>
    <row r="728" ht="12.0" customHeight="1">
      <c r="A728" s="6"/>
      <c r="B728" s="6"/>
      <c r="C728" s="6"/>
      <c r="D728" s="9"/>
      <c r="E728" s="6"/>
      <c r="F728" s="6"/>
      <c r="G728" s="6"/>
      <c r="H728" s="6"/>
      <c r="I728" s="6"/>
    </row>
    <row r="729" ht="12.0" customHeight="1">
      <c r="A729" s="6"/>
      <c r="B729" s="6"/>
      <c r="C729" s="6"/>
      <c r="D729" s="9"/>
      <c r="E729" s="6"/>
      <c r="F729" s="6"/>
      <c r="G729" s="6"/>
      <c r="H729" s="6"/>
      <c r="I729" s="6"/>
    </row>
    <row r="730" ht="12.0" customHeight="1">
      <c r="A730" s="6"/>
      <c r="B730" s="6"/>
      <c r="C730" s="6"/>
      <c r="D730" s="9"/>
      <c r="E730" s="6"/>
      <c r="F730" s="6"/>
      <c r="G730" s="6"/>
      <c r="H730" s="6"/>
      <c r="I730" s="6"/>
    </row>
    <row r="731" ht="12.0" customHeight="1">
      <c r="A731" s="6"/>
      <c r="B731" s="6"/>
      <c r="C731" s="6"/>
      <c r="D731" s="9"/>
      <c r="E731" s="6"/>
      <c r="F731" s="6"/>
      <c r="G731" s="6"/>
      <c r="H731" s="6"/>
      <c r="I731" s="6"/>
    </row>
    <row r="732" ht="12.0" customHeight="1">
      <c r="A732" s="6"/>
      <c r="B732" s="6"/>
      <c r="C732" s="6"/>
      <c r="D732" s="9"/>
      <c r="E732" s="6"/>
      <c r="F732" s="6"/>
      <c r="G732" s="6"/>
      <c r="H732" s="6"/>
      <c r="I732" s="6"/>
    </row>
    <row r="733" ht="12.0" customHeight="1">
      <c r="A733" s="6"/>
      <c r="B733" s="6"/>
      <c r="C733" s="6"/>
      <c r="D733" s="9"/>
      <c r="E733" s="6"/>
      <c r="F733" s="6"/>
      <c r="G733" s="6"/>
      <c r="H733" s="6"/>
      <c r="I733" s="6"/>
    </row>
    <row r="734" ht="12.0" customHeight="1">
      <c r="A734" s="6"/>
      <c r="B734" s="6"/>
      <c r="C734" s="6"/>
      <c r="D734" s="9"/>
      <c r="E734" s="6"/>
      <c r="F734" s="6"/>
      <c r="G734" s="6"/>
      <c r="H734" s="6"/>
      <c r="I734" s="6"/>
    </row>
    <row r="735" ht="12.0" customHeight="1">
      <c r="A735" s="6"/>
      <c r="B735" s="6"/>
      <c r="C735" s="6"/>
      <c r="D735" s="9"/>
      <c r="E735" s="6"/>
      <c r="F735" s="6"/>
      <c r="G735" s="6"/>
      <c r="H735" s="6"/>
      <c r="I735" s="6"/>
    </row>
    <row r="736" ht="12.0" customHeight="1">
      <c r="A736" s="6"/>
      <c r="B736" s="6"/>
      <c r="C736" s="6"/>
      <c r="D736" s="9"/>
      <c r="E736" s="6"/>
      <c r="F736" s="6"/>
      <c r="G736" s="6"/>
      <c r="H736" s="6"/>
      <c r="I736" s="6"/>
    </row>
    <row r="737" ht="12.0" customHeight="1">
      <c r="A737" s="6"/>
      <c r="B737" s="6"/>
      <c r="C737" s="6"/>
      <c r="D737" s="9"/>
      <c r="E737" s="6"/>
      <c r="F737" s="6"/>
      <c r="G737" s="6"/>
      <c r="H737" s="6"/>
      <c r="I737" s="6"/>
    </row>
    <row r="738" ht="12.0" customHeight="1">
      <c r="A738" s="6"/>
      <c r="B738" s="6"/>
      <c r="C738" s="6"/>
      <c r="D738" s="9"/>
      <c r="E738" s="6"/>
      <c r="F738" s="6"/>
      <c r="G738" s="6"/>
      <c r="H738" s="6"/>
      <c r="I738" s="6"/>
    </row>
    <row r="739" ht="12.0" customHeight="1">
      <c r="A739" s="6"/>
      <c r="B739" s="6"/>
      <c r="C739" s="6"/>
      <c r="D739" s="9"/>
      <c r="E739" s="6"/>
      <c r="F739" s="6"/>
      <c r="G739" s="6"/>
      <c r="H739" s="6"/>
      <c r="I739" s="6"/>
    </row>
    <row r="740" ht="12.0" customHeight="1">
      <c r="A740" s="6"/>
      <c r="B740" s="6"/>
      <c r="C740" s="6"/>
      <c r="D740" s="9"/>
      <c r="E740" s="6"/>
      <c r="F740" s="6"/>
      <c r="G740" s="6"/>
      <c r="H740" s="6"/>
      <c r="I740" s="6"/>
    </row>
    <row r="741" ht="12.0" customHeight="1">
      <c r="A741" s="6"/>
      <c r="B741" s="6"/>
      <c r="C741" s="6"/>
      <c r="D741" s="9"/>
      <c r="E741" s="6"/>
      <c r="F741" s="6"/>
      <c r="G741" s="6"/>
      <c r="H741" s="6"/>
      <c r="I741" s="6"/>
    </row>
    <row r="742" ht="12.0" customHeight="1">
      <c r="A742" s="6"/>
      <c r="B742" s="6"/>
      <c r="C742" s="6"/>
      <c r="D742" s="9"/>
      <c r="E742" s="6"/>
      <c r="F742" s="6"/>
      <c r="G742" s="6"/>
      <c r="H742" s="6"/>
      <c r="I742" s="6"/>
    </row>
    <row r="743" ht="12.0" customHeight="1">
      <c r="A743" s="6"/>
      <c r="B743" s="6"/>
      <c r="C743" s="6"/>
      <c r="D743" s="9"/>
      <c r="E743" s="6"/>
      <c r="F743" s="6"/>
      <c r="G743" s="6"/>
      <c r="H743" s="6"/>
      <c r="I743" s="6"/>
    </row>
    <row r="744" ht="12.0" customHeight="1">
      <c r="A744" s="6"/>
      <c r="B744" s="6"/>
      <c r="C744" s="6"/>
      <c r="D744" s="9"/>
      <c r="E744" s="6"/>
      <c r="F744" s="6"/>
      <c r="G744" s="6"/>
      <c r="H744" s="6"/>
      <c r="I744" s="6"/>
    </row>
    <row r="745" ht="12.0" customHeight="1">
      <c r="A745" s="6"/>
      <c r="B745" s="6"/>
      <c r="C745" s="6"/>
      <c r="D745" s="9"/>
      <c r="E745" s="6"/>
      <c r="F745" s="6"/>
      <c r="G745" s="6"/>
      <c r="H745" s="6"/>
      <c r="I745" s="6"/>
    </row>
    <row r="746" ht="12.0" customHeight="1">
      <c r="A746" s="6"/>
      <c r="B746" s="6"/>
      <c r="C746" s="6"/>
      <c r="D746" s="9"/>
      <c r="E746" s="6"/>
      <c r="F746" s="6"/>
      <c r="G746" s="6"/>
      <c r="H746" s="6"/>
      <c r="I746" s="6"/>
    </row>
    <row r="747" ht="12.0" customHeight="1">
      <c r="A747" s="6"/>
      <c r="B747" s="6"/>
      <c r="C747" s="6"/>
      <c r="D747" s="9"/>
      <c r="E747" s="6"/>
      <c r="F747" s="6"/>
      <c r="G747" s="6"/>
      <c r="H747" s="6"/>
      <c r="I747" s="6"/>
    </row>
    <row r="748" ht="12.0" customHeight="1">
      <c r="A748" s="6"/>
      <c r="B748" s="6"/>
      <c r="C748" s="6"/>
      <c r="D748" s="9"/>
      <c r="E748" s="6"/>
      <c r="F748" s="6"/>
      <c r="G748" s="6"/>
      <c r="H748" s="6"/>
      <c r="I748" s="6"/>
    </row>
    <row r="749" ht="12.0" customHeight="1">
      <c r="A749" s="6"/>
      <c r="B749" s="6"/>
      <c r="C749" s="6"/>
      <c r="D749" s="9"/>
      <c r="E749" s="6"/>
      <c r="F749" s="6"/>
      <c r="G749" s="6"/>
      <c r="H749" s="6"/>
      <c r="I749" s="6"/>
    </row>
    <row r="750" ht="12.0" customHeight="1">
      <c r="A750" s="6"/>
      <c r="B750" s="6"/>
      <c r="C750" s="6"/>
      <c r="D750" s="9"/>
      <c r="E750" s="6"/>
      <c r="F750" s="6"/>
      <c r="G750" s="6"/>
      <c r="H750" s="6"/>
      <c r="I750" s="6"/>
    </row>
    <row r="751" ht="12.0" customHeight="1">
      <c r="A751" s="6"/>
      <c r="B751" s="6"/>
      <c r="C751" s="6"/>
      <c r="D751" s="9"/>
      <c r="E751" s="6"/>
      <c r="F751" s="6"/>
      <c r="G751" s="6"/>
      <c r="H751" s="6"/>
      <c r="I751" s="6"/>
    </row>
    <row r="752" ht="12.0" customHeight="1">
      <c r="A752" s="6"/>
      <c r="B752" s="6"/>
      <c r="C752" s="6"/>
      <c r="D752" s="9"/>
      <c r="E752" s="6"/>
      <c r="F752" s="6"/>
      <c r="G752" s="6"/>
      <c r="H752" s="6"/>
      <c r="I752" s="6"/>
    </row>
    <row r="753" ht="12.0" customHeight="1">
      <c r="A753" s="6"/>
      <c r="B753" s="6"/>
      <c r="C753" s="6"/>
      <c r="D753" s="9"/>
      <c r="E753" s="6"/>
      <c r="F753" s="6"/>
      <c r="G753" s="6"/>
      <c r="H753" s="6"/>
      <c r="I753" s="6"/>
    </row>
    <row r="754" ht="12.0" customHeight="1">
      <c r="A754" s="6"/>
      <c r="B754" s="6"/>
      <c r="C754" s="6"/>
      <c r="D754" s="9"/>
      <c r="E754" s="6"/>
      <c r="F754" s="6"/>
      <c r="G754" s="6"/>
      <c r="H754" s="6"/>
      <c r="I754" s="6"/>
    </row>
    <row r="755" ht="12.0" customHeight="1">
      <c r="A755" s="6"/>
      <c r="B755" s="6"/>
      <c r="C755" s="6"/>
      <c r="D755" s="9"/>
      <c r="E755" s="6"/>
      <c r="F755" s="6"/>
      <c r="G755" s="6"/>
      <c r="H755" s="6"/>
      <c r="I755" s="6"/>
    </row>
    <row r="756" ht="12.0" customHeight="1">
      <c r="A756" s="6"/>
      <c r="B756" s="6"/>
      <c r="C756" s="6"/>
      <c r="D756" s="9"/>
      <c r="E756" s="6"/>
      <c r="F756" s="6"/>
      <c r="G756" s="6"/>
      <c r="H756" s="6"/>
      <c r="I756" s="6"/>
    </row>
    <row r="757" ht="12.0" customHeight="1">
      <c r="A757" s="6"/>
      <c r="B757" s="6"/>
      <c r="C757" s="6"/>
      <c r="D757" s="9"/>
      <c r="E757" s="6"/>
      <c r="F757" s="6"/>
      <c r="G757" s="6"/>
      <c r="H757" s="6"/>
      <c r="I757" s="6"/>
    </row>
    <row r="758" ht="12.0" customHeight="1">
      <c r="A758" s="6"/>
      <c r="B758" s="6"/>
      <c r="C758" s="6"/>
      <c r="D758" s="9"/>
      <c r="E758" s="6"/>
      <c r="F758" s="6"/>
      <c r="G758" s="6"/>
      <c r="H758" s="6"/>
      <c r="I758" s="6"/>
    </row>
    <row r="759" ht="12.0" customHeight="1">
      <c r="A759" s="6"/>
      <c r="B759" s="6"/>
      <c r="C759" s="6"/>
      <c r="D759" s="9"/>
      <c r="E759" s="6"/>
      <c r="F759" s="6"/>
      <c r="G759" s="6"/>
      <c r="H759" s="6"/>
      <c r="I759" s="6"/>
    </row>
    <row r="760" ht="12.0" customHeight="1">
      <c r="A760" s="6"/>
      <c r="B760" s="6"/>
      <c r="C760" s="6"/>
      <c r="D760" s="9"/>
      <c r="E760" s="6"/>
      <c r="F760" s="6"/>
      <c r="G760" s="6"/>
      <c r="H760" s="6"/>
      <c r="I760" s="6"/>
    </row>
    <row r="761" ht="12.0" customHeight="1">
      <c r="A761" s="6"/>
      <c r="B761" s="6"/>
      <c r="C761" s="6"/>
      <c r="D761" s="9"/>
      <c r="E761" s="6"/>
      <c r="F761" s="6"/>
      <c r="G761" s="6"/>
      <c r="H761" s="6"/>
      <c r="I761" s="6"/>
    </row>
    <row r="762" ht="12.0" customHeight="1">
      <c r="A762" s="6"/>
      <c r="B762" s="6"/>
      <c r="C762" s="6"/>
      <c r="D762" s="9"/>
      <c r="E762" s="6"/>
      <c r="F762" s="6"/>
      <c r="G762" s="6"/>
      <c r="H762" s="6"/>
      <c r="I762" s="6"/>
    </row>
    <row r="763" ht="12.0" customHeight="1">
      <c r="A763" s="6"/>
      <c r="B763" s="6"/>
      <c r="C763" s="6"/>
      <c r="D763" s="9"/>
      <c r="E763" s="6"/>
      <c r="F763" s="6"/>
      <c r="G763" s="6"/>
      <c r="H763" s="6"/>
      <c r="I763" s="6"/>
    </row>
    <row r="764" ht="12.0" customHeight="1">
      <c r="A764" s="6"/>
      <c r="B764" s="6"/>
      <c r="C764" s="6"/>
      <c r="D764" s="9"/>
      <c r="E764" s="6"/>
      <c r="F764" s="6"/>
      <c r="G764" s="6"/>
      <c r="H764" s="6"/>
      <c r="I764" s="6"/>
    </row>
    <row r="765" ht="12.0" customHeight="1">
      <c r="A765" s="6"/>
      <c r="B765" s="6"/>
      <c r="C765" s="6"/>
      <c r="D765" s="9"/>
      <c r="E765" s="6"/>
      <c r="F765" s="6"/>
      <c r="G765" s="6"/>
      <c r="H765" s="6"/>
      <c r="I765" s="6"/>
    </row>
    <row r="766" ht="12.0" customHeight="1">
      <c r="A766" s="6"/>
      <c r="B766" s="6"/>
      <c r="C766" s="6"/>
      <c r="D766" s="9"/>
      <c r="E766" s="6"/>
      <c r="F766" s="6"/>
      <c r="G766" s="6"/>
      <c r="H766" s="6"/>
      <c r="I766" s="6"/>
    </row>
    <row r="767" ht="12.0" customHeight="1">
      <c r="A767" s="6"/>
      <c r="B767" s="6"/>
      <c r="C767" s="6"/>
      <c r="D767" s="9"/>
      <c r="E767" s="6"/>
      <c r="F767" s="6"/>
      <c r="G767" s="6"/>
      <c r="H767" s="6"/>
      <c r="I767" s="6"/>
    </row>
    <row r="768" ht="12.0" customHeight="1">
      <c r="A768" s="6"/>
      <c r="B768" s="6"/>
      <c r="C768" s="6"/>
      <c r="D768" s="9"/>
      <c r="E768" s="6"/>
      <c r="F768" s="6"/>
      <c r="G768" s="6"/>
      <c r="H768" s="6"/>
      <c r="I768" s="6"/>
    </row>
    <row r="769" ht="12.0" customHeight="1">
      <c r="A769" s="6"/>
      <c r="B769" s="6"/>
      <c r="C769" s="6"/>
      <c r="D769" s="9"/>
      <c r="E769" s="6"/>
      <c r="F769" s="6"/>
      <c r="G769" s="6"/>
      <c r="H769" s="6"/>
      <c r="I769" s="6"/>
    </row>
    <row r="770" ht="12.0" customHeight="1">
      <c r="A770" s="6"/>
      <c r="B770" s="6"/>
      <c r="C770" s="6"/>
      <c r="D770" s="9"/>
      <c r="E770" s="6"/>
      <c r="F770" s="6"/>
      <c r="G770" s="6"/>
      <c r="H770" s="6"/>
      <c r="I770" s="6"/>
    </row>
    <row r="771" ht="12.0" customHeight="1">
      <c r="A771" s="6"/>
      <c r="B771" s="6"/>
      <c r="C771" s="6"/>
      <c r="D771" s="9"/>
      <c r="E771" s="6"/>
      <c r="F771" s="6"/>
      <c r="G771" s="6"/>
      <c r="H771" s="6"/>
      <c r="I771" s="6"/>
    </row>
    <row r="772" ht="12.0" customHeight="1">
      <c r="A772" s="6"/>
      <c r="B772" s="6"/>
      <c r="C772" s="6"/>
      <c r="D772" s="9"/>
      <c r="E772" s="6"/>
      <c r="F772" s="6"/>
      <c r="G772" s="6"/>
      <c r="H772" s="6"/>
      <c r="I772" s="6"/>
    </row>
    <row r="773" ht="12.0" customHeight="1">
      <c r="A773" s="6"/>
      <c r="B773" s="6"/>
      <c r="C773" s="6"/>
      <c r="D773" s="9"/>
      <c r="E773" s="6"/>
      <c r="F773" s="6"/>
      <c r="G773" s="6"/>
      <c r="H773" s="6"/>
      <c r="I773" s="6"/>
    </row>
    <row r="774" ht="12.0" customHeight="1">
      <c r="A774" s="6"/>
      <c r="B774" s="6"/>
      <c r="C774" s="6"/>
      <c r="D774" s="9"/>
      <c r="E774" s="6"/>
      <c r="F774" s="6"/>
      <c r="G774" s="6"/>
      <c r="H774" s="6"/>
      <c r="I774" s="6"/>
    </row>
    <row r="775" ht="12.0" customHeight="1">
      <c r="A775" s="6"/>
      <c r="B775" s="6"/>
      <c r="C775" s="6"/>
      <c r="D775" s="9"/>
      <c r="E775" s="6"/>
      <c r="F775" s="6"/>
      <c r="G775" s="6"/>
      <c r="H775" s="6"/>
      <c r="I775" s="6"/>
    </row>
    <row r="776" ht="12.0" customHeight="1">
      <c r="A776" s="6"/>
      <c r="B776" s="6"/>
      <c r="C776" s="6"/>
      <c r="D776" s="9"/>
      <c r="E776" s="6"/>
      <c r="F776" s="6"/>
      <c r="G776" s="6"/>
      <c r="H776" s="6"/>
      <c r="I776" s="6"/>
    </row>
    <row r="777" ht="12.0" customHeight="1">
      <c r="A777" s="6"/>
      <c r="B777" s="6"/>
      <c r="C777" s="6"/>
      <c r="D777" s="9"/>
      <c r="E777" s="6"/>
      <c r="F777" s="6"/>
      <c r="G777" s="6"/>
      <c r="H777" s="6"/>
      <c r="I777" s="6"/>
    </row>
    <row r="778" ht="12.0" customHeight="1">
      <c r="A778" s="6"/>
      <c r="B778" s="6"/>
      <c r="C778" s="6"/>
      <c r="D778" s="9"/>
      <c r="E778" s="6"/>
      <c r="F778" s="6"/>
      <c r="G778" s="6"/>
      <c r="H778" s="6"/>
      <c r="I778" s="6"/>
    </row>
    <row r="779" ht="12.0" customHeight="1">
      <c r="A779" s="6"/>
      <c r="B779" s="6"/>
      <c r="C779" s="6"/>
      <c r="D779" s="9"/>
      <c r="E779" s="6"/>
      <c r="F779" s="6"/>
      <c r="G779" s="6"/>
      <c r="H779" s="6"/>
      <c r="I779" s="6"/>
    </row>
    <row r="780" ht="12.0" customHeight="1">
      <c r="A780" s="6"/>
      <c r="B780" s="6"/>
      <c r="C780" s="6"/>
      <c r="D780" s="9"/>
      <c r="E780" s="6"/>
      <c r="F780" s="6"/>
      <c r="G780" s="6"/>
      <c r="H780" s="6"/>
      <c r="I780" s="6"/>
    </row>
    <row r="781" ht="12.0" customHeight="1">
      <c r="A781" s="6"/>
      <c r="B781" s="6"/>
      <c r="C781" s="6"/>
      <c r="D781" s="9"/>
      <c r="E781" s="6"/>
      <c r="F781" s="6"/>
      <c r="G781" s="6"/>
      <c r="H781" s="6"/>
      <c r="I781" s="6"/>
    </row>
    <row r="782" ht="12.0" customHeight="1">
      <c r="A782" s="6"/>
      <c r="B782" s="6"/>
      <c r="C782" s="6"/>
      <c r="D782" s="9"/>
      <c r="E782" s="6"/>
      <c r="F782" s="6"/>
      <c r="G782" s="6"/>
      <c r="H782" s="6"/>
      <c r="I782" s="6"/>
    </row>
    <row r="783" ht="12.0" customHeight="1">
      <c r="A783" s="6"/>
      <c r="B783" s="6"/>
      <c r="C783" s="6"/>
      <c r="D783" s="9"/>
      <c r="E783" s="6"/>
      <c r="F783" s="6"/>
      <c r="G783" s="6"/>
      <c r="H783" s="6"/>
      <c r="I783" s="6"/>
    </row>
    <row r="784" ht="12.0" customHeight="1">
      <c r="A784" s="6"/>
      <c r="B784" s="6"/>
      <c r="C784" s="6"/>
      <c r="D784" s="9"/>
      <c r="E784" s="6"/>
      <c r="F784" s="6"/>
      <c r="G784" s="6"/>
      <c r="H784" s="6"/>
      <c r="I784" s="6"/>
    </row>
    <row r="785" ht="12.0" customHeight="1">
      <c r="A785" s="6"/>
      <c r="B785" s="6"/>
      <c r="C785" s="6"/>
      <c r="D785" s="9"/>
      <c r="E785" s="6"/>
      <c r="F785" s="6"/>
      <c r="G785" s="6"/>
      <c r="H785" s="6"/>
      <c r="I785" s="6"/>
    </row>
    <row r="786" ht="12.0" customHeight="1">
      <c r="A786" s="6"/>
      <c r="B786" s="6"/>
      <c r="C786" s="6"/>
      <c r="D786" s="9"/>
      <c r="E786" s="6"/>
      <c r="F786" s="6"/>
      <c r="G786" s="6"/>
      <c r="H786" s="6"/>
      <c r="I786" s="6"/>
    </row>
    <row r="787" ht="12.0" customHeight="1">
      <c r="A787" s="6"/>
      <c r="B787" s="6"/>
      <c r="C787" s="6"/>
      <c r="D787" s="9"/>
      <c r="E787" s="6"/>
      <c r="F787" s="6"/>
      <c r="G787" s="6"/>
      <c r="H787" s="6"/>
      <c r="I787" s="6"/>
    </row>
    <row r="788" ht="12.0" customHeight="1">
      <c r="A788" s="6"/>
      <c r="B788" s="6"/>
      <c r="C788" s="6"/>
      <c r="D788" s="9"/>
      <c r="E788" s="6"/>
      <c r="F788" s="6"/>
      <c r="G788" s="6"/>
      <c r="H788" s="6"/>
      <c r="I788" s="6"/>
    </row>
    <row r="789" ht="12.0" customHeight="1">
      <c r="A789" s="6"/>
      <c r="B789" s="6"/>
      <c r="C789" s="6"/>
      <c r="D789" s="9"/>
      <c r="E789" s="6"/>
      <c r="F789" s="6"/>
      <c r="G789" s="6"/>
      <c r="H789" s="6"/>
      <c r="I789" s="6"/>
    </row>
    <row r="790" ht="12.0" customHeight="1">
      <c r="A790" s="6"/>
      <c r="B790" s="6"/>
      <c r="C790" s="6"/>
      <c r="D790" s="9"/>
      <c r="E790" s="6"/>
      <c r="F790" s="6"/>
      <c r="G790" s="6"/>
      <c r="H790" s="6"/>
      <c r="I790" s="6"/>
    </row>
    <row r="791" ht="12.0" customHeight="1">
      <c r="A791" s="6"/>
      <c r="B791" s="6"/>
      <c r="C791" s="6"/>
      <c r="D791" s="9"/>
      <c r="E791" s="6"/>
      <c r="F791" s="6"/>
      <c r="G791" s="6"/>
      <c r="H791" s="6"/>
      <c r="I791" s="6"/>
    </row>
    <row r="792" ht="12.0" customHeight="1">
      <c r="A792" s="6"/>
      <c r="B792" s="6"/>
      <c r="C792" s="6"/>
      <c r="D792" s="9"/>
      <c r="E792" s="6"/>
      <c r="F792" s="6"/>
      <c r="G792" s="6"/>
      <c r="H792" s="6"/>
      <c r="I792" s="6"/>
    </row>
    <row r="793" ht="12.0" customHeight="1">
      <c r="A793" s="6"/>
      <c r="B793" s="6"/>
      <c r="C793" s="6"/>
      <c r="D793" s="9"/>
      <c r="E793" s="6"/>
      <c r="F793" s="6"/>
      <c r="G793" s="6"/>
      <c r="H793" s="6"/>
      <c r="I793" s="6"/>
    </row>
    <row r="794" ht="12.0" customHeight="1">
      <c r="A794" s="6"/>
      <c r="B794" s="6"/>
      <c r="C794" s="6"/>
      <c r="D794" s="9"/>
      <c r="E794" s="6"/>
      <c r="F794" s="6"/>
      <c r="G794" s="6"/>
      <c r="H794" s="6"/>
      <c r="I794" s="6"/>
    </row>
    <row r="795" ht="12.0" customHeight="1">
      <c r="A795" s="6"/>
      <c r="B795" s="6"/>
      <c r="C795" s="6"/>
      <c r="D795" s="9"/>
      <c r="E795" s="6"/>
      <c r="F795" s="6"/>
      <c r="G795" s="6"/>
      <c r="H795" s="6"/>
      <c r="I795" s="6"/>
    </row>
    <row r="796" ht="12.0" customHeight="1">
      <c r="A796" s="6"/>
      <c r="B796" s="6"/>
      <c r="C796" s="6"/>
      <c r="D796" s="9"/>
      <c r="E796" s="6"/>
      <c r="F796" s="6"/>
      <c r="G796" s="6"/>
      <c r="H796" s="6"/>
      <c r="I796" s="6"/>
    </row>
    <row r="797" ht="12.0" customHeight="1">
      <c r="A797" s="6"/>
      <c r="B797" s="6"/>
      <c r="C797" s="6"/>
      <c r="D797" s="9"/>
      <c r="E797" s="6"/>
      <c r="F797" s="6"/>
      <c r="G797" s="6"/>
      <c r="H797" s="6"/>
      <c r="I797" s="6"/>
    </row>
    <row r="798" ht="12.0" customHeight="1">
      <c r="A798" s="6"/>
      <c r="B798" s="6"/>
      <c r="C798" s="6"/>
      <c r="D798" s="9"/>
      <c r="E798" s="6"/>
      <c r="F798" s="6"/>
      <c r="G798" s="6"/>
      <c r="H798" s="6"/>
      <c r="I798" s="6"/>
    </row>
    <row r="799" ht="12.0" customHeight="1">
      <c r="A799" s="6"/>
      <c r="B799" s="6"/>
      <c r="C799" s="6"/>
      <c r="D799" s="9"/>
      <c r="E799" s="6"/>
      <c r="F799" s="6"/>
      <c r="G799" s="6"/>
      <c r="H799" s="6"/>
      <c r="I799" s="6"/>
    </row>
    <row r="800" ht="12.0" customHeight="1">
      <c r="A800" s="6"/>
      <c r="B800" s="6"/>
      <c r="C800" s="6"/>
      <c r="D800" s="9"/>
      <c r="E800" s="6"/>
      <c r="F800" s="6"/>
      <c r="G800" s="6"/>
      <c r="H800" s="6"/>
      <c r="I800" s="6"/>
    </row>
    <row r="801" ht="12.0" customHeight="1">
      <c r="A801" s="6"/>
      <c r="B801" s="6"/>
      <c r="C801" s="6"/>
      <c r="D801" s="9"/>
      <c r="E801" s="6"/>
      <c r="F801" s="6"/>
      <c r="G801" s="6"/>
      <c r="H801" s="6"/>
      <c r="I801" s="6"/>
    </row>
    <row r="802" ht="12.0" customHeight="1">
      <c r="A802" s="6"/>
      <c r="B802" s="6"/>
      <c r="C802" s="6"/>
      <c r="D802" s="9"/>
      <c r="E802" s="6"/>
      <c r="F802" s="6"/>
      <c r="G802" s="6"/>
      <c r="H802" s="6"/>
      <c r="I802" s="6"/>
    </row>
    <row r="803" ht="12.0" customHeight="1">
      <c r="A803" s="6"/>
      <c r="B803" s="6"/>
      <c r="C803" s="6"/>
      <c r="D803" s="9"/>
      <c r="E803" s="6"/>
      <c r="F803" s="6"/>
      <c r="G803" s="6"/>
      <c r="H803" s="6"/>
      <c r="I803" s="6"/>
    </row>
    <row r="804" ht="12.0" customHeight="1">
      <c r="A804" s="6"/>
      <c r="B804" s="6"/>
      <c r="C804" s="6"/>
      <c r="D804" s="9"/>
      <c r="E804" s="6"/>
      <c r="F804" s="6"/>
      <c r="G804" s="6"/>
      <c r="H804" s="6"/>
      <c r="I804" s="6"/>
    </row>
    <row r="805" ht="12.0" customHeight="1">
      <c r="A805" s="6"/>
      <c r="B805" s="6"/>
      <c r="C805" s="6"/>
      <c r="D805" s="9"/>
      <c r="E805" s="6"/>
      <c r="F805" s="6"/>
      <c r="G805" s="6"/>
      <c r="H805" s="6"/>
      <c r="I805" s="6"/>
    </row>
    <row r="806" ht="12.0" customHeight="1">
      <c r="A806" s="6"/>
      <c r="B806" s="6"/>
      <c r="C806" s="6"/>
      <c r="D806" s="9"/>
      <c r="E806" s="6"/>
      <c r="F806" s="6"/>
      <c r="G806" s="6"/>
      <c r="H806" s="6"/>
      <c r="I806" s="6"/>
    </row>
    <row r="807" ht="12.0" customHeight="1">
      <c r="A807" s="6"/>
      <c r="B807" s="6"/>
      <c r="C807" s="6"/>
      <c r="D807" s="9"/>
      <c r="E807" s="6"/>
      <c r="F807" s="6"/>
      <c r="G807" s="6"/>
      <c r="H807" s="6"/>
      <c r="I807" s="6"/>
    </row>
    <row r="808" ht="12.0" customHeight="1">
      <c r="A808" s="6"/>
      <c r="B808" s="6"/>
      <c r="C808" s="6"/>
      <c r="D808" s="9"/>
      <c r="E808" s="6"/>
      <c r="F808" s="6"/>
      <c r="G808" s="6"/>
      <c r="H808" s="6"/>
      <c r="I808" s="6"/>
    </row>
    <row r="809" ht="12.0" customHeight="1">
      <c r="A809" s="6"/>
      <c r="B809" s="6"/>
      <c r="C809" s="6"/>
      <c r="D809" s="9"/>
      <c r="E809" s="6"/>
      <c r="F809" s="6"/>
      <c r="G809" s="6"/>
      <c r="H809" s="6"/>
      <c r="I809" s="6"/>
    </row>
    <row r="810" ht="12.0" customHeight="1">
      <c r="A810" s="6"/>
      <c r="B810" s="6"/>
      <c r="C810" s="6"/>
      <c r="D810" s="9"/>
      <c r="E810" s="6"/>
      <c r="F810" s="6"/>
      <c r="G810" s="6"/>
      <c r="H810" s="6"/>
      <c r="I810" s="6"/>
    </row>
    <row r="811" ht="12.0" customHeight="1">
      <c r="A811" s="6"/>
      <c r="B811" s="6"/>
      <c r="C811" s="6"/>
      <c r="D811" s="9"/>
      <c r="E811" s="6"/>
      <c r="F811" s="6"/>
      <c r="G811" s="6"/>
      <c r="H811" s="6"/>
      <c r="I811" s="6"/>
    </row>
    <row r="812" ht="12.0" customHeight="1">
      <c r="A812" s="6"/>
      <c r="B812" s="6"/>
      <c r="C812" s="6"/>
      <c r="D812" s="9"/>
      <c r="E812" s="6"/>
      <c r="F812" s="6"/>
      <c r="G812" s="6"/>
      <c r="H812" s="6"/>
      <c r="I812" s="6"/>
    </row>
    <row r="813" ht="12.0" customHeight="1">
      <c r="A813" s="6"/>
      <c r="B813" s="6"/>
      <c r="C813" s="6"/>
      <c r="D813" s="9"/>
      <c r="E813" s="6"/>
      <c r="F813" s="6"/>
      <c r="G813" s="6"/>
      <c r="H813" s="6"/>
      <c r="I813" s="6"/>
    </row>
    <row r="814" ht="12.0" customHeight="1">
      <c r="A814" s="6"/>
      <c r="B814" s="6"/>
      <c r="C814" s="6"/>
      <c r="D814" s="9"/>
      <c r="E814" s="6"/>
      <c r="F814" s="6"/>
      <c r="G814" s="6"/>
      <c r="H814" s="6"/>
      <c r="I814" s="6"/>
    </row>
    <row r="815" ht="12.0" customHeight="1">
      <c r="A815" s="6"/>
      <c r="B815" s="6"/>
      <c r="C815" s="6"/>
      <c r="D815" s="9"/>
      <c r="E815" s="6"/>
      <c r="F815" s="6"/>
      <c r="G815" s="6"/>
      <c r="H815" s="6"/>
      <c r="I815" s="6"/>
    </row>
    <row r="816" ht="12.0" customHeight="1">
      <c r="A816" s="6"/>
      <c r="B816" s="6"/>
      <c r="C816" s="6"/>
      <c r="D816" s="9"/>
      <c r="E816" s="6"/>
      <c r="F816" s="6"/>
      <c r="G816" s="6"/>
      <c r="H816" s="6"/>
      <c r="I816" s="6"/>
    </row>
    <row r="817" ht="12.0" customHeight="1">
      <c r="A817" s="6"/>
      <c r="B817" s="6"/>
      <c r="C817" s="6"/>
      <c r="D817" s="9"/>
      <c r="E817" s="6"/>
      <c r="F817" s="6"/>
      <c r="G817" s="6"/>
      <c r="H817" s="6"/>
      <c r="I817" s="6"/>
    </row>
    <row r="818" ht="12.0" customHeight="1">
      <c r="A818" s="6"/>
      <c r="B818" s="6"/>
      <c r="C818" s="6"/>
      <c r="D818" s="9"/>
      <c r="E818" s="6"/>
      <c r="F818" s="6"/>
      <c r="G818" s="6"/>
      <c r="H818" s="6"/>
      <c r="I818" s="6"/>
    </row>
    <row r="819" ht="12.0" customHeight="1">
      <c r="A819" s="6"/>
      <c r="B819" s="6"/>
      <c r="C819" s="6"/>
      <c r="D819" s="9"/>
      <c r="E819" s="6"/>
      <c r="F819" s="6"/>
      <c r="G819" s="6"/>
      <c r="H819" s="6"/>
      <c r="I819" s="6"/>
    </row>
    <row r="820" ht="12.0" customHeight="1">
      <c r="A820" s="6"/>
      <c r="B820" s="6"/>
      <c r="C820" s="6"/>
      <c r="D820" s="9"/>
      <c r="E820" s="6"/>
      <c r="F820" s="6"/>
      <c r="G820" s="6"/>
      <c r="H820" s="6"/>
      <c r="I820" s="6"/>
    </row>
    <row r="821" ht="12.0" customHeight="1">
      <c r="A821" s="6"/>
      <c r="B821" s="6"/>
      <c r="C821" s="6"/>
      <c r="D821" s="9"/>
      <c r="E821" s="6"/>
      <c r="F821" s="6"/>
      <c r="G821" s="6"/>
      <c r="H821" s="6"/>
      <c r="I821" s="6"/>
    </row>
    <row r="822" ht="12.0" customHeight="1">
      <c r="A822" s="6"/>
      <c r="B822" s="6"/>
      <c r="C822" s="6"/>
      <c r="D822" s="9"/>
      <c r="E822" s="6"/>
      <c r="F822" s="6"/>
      <c r="G822" s="6"/>
      <c r="H822" s="6"/>
      <c r="I822" s="6"/>
    </row>
    <row r="823" ht="12.0" customHeight="1">
      <c r="A823" s="6"/>
      <c r="B823" s="6"/>
      <c r="C823" s="6"/>
      <c r="D823" s="9"/>
      <c r="E823" s="6"/>
      <c r="F823" s="6"/>
      <c r="G823" s="6"/>
      <c r="H823" s="6"/>
      <c r="I823" s="6"/>
    </row>
    <row r="824" ht="12.0" customHeight="1">
      <c r="A824" s="6"/>
      <c r="B824" s="6"/>
      <c r="C824" s="6"/>
      <c r="D824" s="9"/>
      <c r="E824" s="6"/>
      <c r="F824" s="6"/>
      <c r="G824" s="6"/>
      <c r="H824" s="6"/>
      <c r="I824" s="6"/>
    </row>
    <row r="825" ht="12.0" customHeight="1">
      <c r="A825" s="6"/>
      <c r="B825" s="6"/>
      <c r="C825" s="6"/>
      <c r="D825" s="9"/>
      <c r="E825" s="6"/>
      <c r="F825" s="6"/>
      <c r="G825" s="6"/>
      <c r="H825" s="6"/>
      <c r="I825" s="6"/>
    </row>
    <row r="826" ht="12.0" customHeight="1">
      <c r="A826" s="6"/>
      <c r="B826" s="6"/>
      <c r="C826" s="6"/>
      <c r="D826" s="9"/>
      <c r="E826" s="6"/>
      <c r="F826" s="6"/>
      <c r="G826" s="6"/>
      <c r="H826" s="6"/>
      <c r="I826" s="6"/>
    </row>
    <row r="827" ht="12.0" customHeight="1">
      <c r="A827" s="6"/>
      <c r="B827" s="6"/>
      <c r="C827" s="6"/>
      <c r="D827" s="9"/>
      <c r="E827" s="6"/>
      <c r="F827" s="6"/>
      <c r="G827" s="6"/>
      <c r="H827" s="6"/>
      <c r="I827" s="6"/>
    </row>
    <row r="828" ht="12.0" customHeight="1">
      <c r="A828" s="6"/>
      <c r="B828" s="6"/>
      <c r="C828" s="6"/>
      <c r="D828" s="9"/>
      <c r="E828" s="6"/>
      <c r="F828" s="6"/>
      <c r="G828" s="6"/>
      <c r="H828" s="6"/>
      <c r="I828" s="6"/>
    </row>
    <row r="829" ht="12.0" customHeight="1">
      <c r="A829" s="6"/>
      <c r="B829" s="6"/>
      <c r="C829" s="6"/>
      <c r="D829" s="9"/>
      <c r="E829" s="6"/>
      <c r="F829" s="6"/>
      <c r="G829" s="6"/>
      <c r="H829" s="6"/>
      <c r="I829" s="6"/>
    </row>
    <row r="830" ht="12.0" customHeight="1">
      <c r="A830" s="6"/>
      <c r="B830" s="6"/>
      <c r="C830" s="6"/>
      <c r="D830" s="9"/>
      <c r="E830" s="6"/>
      <c r="F830" s="6"/>
      <c r="G830" s="6"/>
      <c r="H830" s="6"/>
      <c r="I830" s="6"/>
    </row>
    <row r="831" ht="12.0" customHeight="1">
      <c r="A831" s="6"/>
      <c r="B831" s="6"/>
      <c r="C831" s="6"/>
      <c r="D831" s="9"/>
      <c r="E831" s="6"/>
      <c r="F831" s="6"/>
      <c r="G831" s="6"/>
      <c r="H831" s="6"/>
      <c r="I831" s="6"/>
    </row>
    <row r="832" ht="12.0" customHeight="1">
      <c r="A832" s="6"/>
      <c r="B832" s="6"/>
      <c r="C832" s="6"/>
      <c r="D832" s="9"/>
      <c r="E832" s="6"/>
      <c r="F832" s="6"/>
      <c r="G832" s="6"/>
      <c r="H832" s="6"/>
      <c r="I832" s="6"/>
    </row>
    <row r="833" ht="12.0" customHeight="1">
      <c r="A833" s="6"/>
      <c r="B833" s="6"/>
      <c r="C833" s="6"/>
      <c r="D833" s="9"/>
      <c r="E833" s="6"/>
      <c r="F833" s="6"/>
      <c r="G833" s="6"/>
      <c r="H833" s="6"/>
      <c r="I833" s="6"/>
    </row>
    <row r="834" ht="12.0" customHeight="1">
      <c r="A834" s="6"/>
      <c r="B834" s="6"/>
      <c r="C834" s="6"/>
      <c r="D834" s="9"/>
      <c r="E834" s="6"/>
      <c r="F834" s="6"/>
      <c r="G834" s="6"/>
      <c r="H834" s="6"/>
      <c r="I834" s="6"/>
    </row>
    <row r="835" ht="12.0" customHeight="1">
      <c r="A835" s="6"/>
      <c r="B835" s="6"/>
      <c r="C835" s="6"/>
      <c r="D835" s="9"/>
      <c r="E835" s="6"/>
      <c r="F835" s="6"/>
      <c r="G835" s="6"/>
      <c r="H835" s="6"/>
      <c r="I835" s="6"/>
    </row>
    <row r="836" ht="12.0" customHeight="1">
      <c r="A836" s="6"/>
      <c r="B836" s="6"/>
      <c r="C836" s="6"/>
      <c r="D836" s="9"/>
      <c r="E836" s="6"/>
      <c r="F836" s="6"/>
      <c r="G836" s="6"/>
      <c r="H836" s="6"/>
      <c r="I836" s="6"/>
    </row>
    <row r="837" ht="12.0" customHeight="1">
      <c r="A837" s="6"/>
      <c r="B837" s="6"/>
      <c r="C837" s="6"/>
      <c r="D837" s="9"/>
      <c r="E837" s="6"/>
      <c r="F837" s="6"/>
      <c r="G837" s="6"/>
      <c r="H837" s="6"/>
      <c r="I837" s="6"/>
    </row>
    <row r="838" ht="12.0" customHeight="1">
      <c r="A838" s="6"/>
      <c r="B838" s="6"/>
      <c r="C838" s="6"/>
      <c r="D838" s="9"/>
      <c r="E838" s="6"/>
      <c r="F838" s="6"/>
      <c r="G838" s="6"/>
      <c r="H838" s="6"/>
      <c r="I838" s="6"/>
    </row>
    <row r="839" ht="12.0" customHeight="1">
      <c r="A839" s="6"/>
      <c r="B839" s="6"/>
      <c r="C839" s="6"/>
      <c r="D839" s="9"/>
      <c r="E839" s="6"/>
      <c r="F839" s="6"/>
      <c r="G839" s="6"/>
      <c r="H839" s="6"/>
      <c r="I839" s="6"/>
    </row>
    <row r="840" ht="12.0" customHeight="1">
      <c r="A840" s="6"/>
      <c r="B840" s="6"/>
      <c r="C840" s="6"/>
      <c r="D840" s="9"/>
      <c r="E840" s="6"/>
      <c r="F840" s="6"/>
      <c r="G840" s="6"/>
      <c r="H840" s="6"/>
      <c r="I840" s="6"/>
    </row>
    <row r="841" ht="12.0" customHeight="1">
      <c r="A841" s="6"/>
      <c r="B841" s="6"/>
      <c r="C841" s="6"/>
      <c r="D841" s="9"/>
      <c r="E841" s="6"/>
      <c r="F841" s="6"/>
      <c r="G841" s="6"/>
      <c r="H841" s="6"/>
      <c r="I841" s="6"/>
    </row>
    <row r="842" ht="12.0" customHeight="1">
      <c r="A842" s="6"/>
      <c r="B842" s="6"/>
      <c r="C842" s="6"/>
      <c r="D842" s="9"/>
      <c r="E842" s="6"/>
      <c r="F842" s="6"/>
      <c r="G842" s="6"/>
      <c r="H842" s="6"/>
      <c r="I842" s="6"/>
    </row>
    <row r="843" ht="12.0" customHeight="1">
      <c r="A843" s="6"/>
      <c r="B843" s="6"/>
      <c r="C843" s="6"/>
      <c r="D843" s="9"/>
      <c r="E843" s="6"/>
      <c r="F843" s="6"/>
      <c r="G843" s="6"/>
      <c r="H843" s="6"/>
      <c r="I843" s="6"/>
    </row>
    <row r="844" ht="12.0" customHeight="1">
      <c r="A844" s="6"/>
      <c r="B844" s="6"/>
      <c r="C844" s="6"/>
      <c r="D844" s="9"/>
      <c r="E844" s="6"/>
      <c r="F844" s="6"/>
      <c r="G844" s="6"/>
      <c r="H844" s="6"/>
      <c r="I844" s="6"/>
    </row>
    <row r="845" ht="12.0" customHeight="1">
      <c r="A845" s="6"/>
      <c r="B845" s="6"/>
      <c r="C845" s="6"/>
      <c r="D845" s="9"/>
      <c r="E845" s="6"/>
      <c r="F845" s="6"/>
      <c r="G845" s="6"/>
      <c r="H845" s="6"/>
      <c r="I845" s="6"/>
    </row>
    <row r="846" ht="12.0" customHeight="1">
      <c r="A846" s="6"/>
      <c r="B846" s="6"/>
      <c r="C846" s="6"/>
      <c r="D846" s="9"/>
      <c r="E846" s="6"/>
      <c r="F846" s="6"/>
      <c r="G846" s="6"/>
      <c r="H846" s="6"/>
      <c r="I846" s="6"/>
    </row>
    <row r="847" ht="12.0" customHeight="1">
      <c r="A847" s="6"/>
      <c r="B847" s="6"/>
      <c r="C847" s="6"/>
      <c r="D847" s="9"/>
      <c r="E847" s="6"/>
      <c r="F847" s="6"/>
      <c r="G847" s="6"/>
      <c r="H847" s="6"/>
      <c r="I847" s="6"/>
    </row>
    <row r="848" ht="12.0" customHeight="1">
      <c r="A848" s="6"/>
      <c r="B848" s="6"/>
      <c r="C848" s="6"/>
      <c r="D848" s="9"/>
      <c r="E848" s="6"/>
      <c r="F848" s="6"/>
      <c r="G848" s="6"/>
      <c r="H848" s="6"/>
      <c r="I848" s="6"/>
    </row>
    <row r="849" ht="12.0" customHeight="1">
      <c r="A849" s="6"/>
      <c r="B849" s="6"/>
      <c r="C849" s="6"/>
      <c r="D849" s="9"/>
      <c r="E849" s="6"/>
      <c r="F849" s="6"/>
      <c r="G849" s="6"/>
      <c r="H849" s="6"/>
      <c r="I849" s="6"/>
    </row>
    <row r="850" ht="12.0" customHeight="1">
      <c r="A850" s="6"/>
      <c r="B850" s="6"/>
      <c r="C850" s="6"/>
      <c r="D850" s="9"/>
      <c r="E850" s="6"/>
      <c r="F850" s="6"/>
      <c r="G850" s="6"/>
      <c r="H850" s="6"/>
      <c r="I850" s="6"/>
    </row>
    <row r="851" ht="12.0" customHeight="1">
      <c r="A851" s="6"/>
      <c r="B851" s="6"/>
      <c r="C851" s="6"/>
      <c r="D851" s="9"/>
      <c r="E851" s="6"/>
      <c r="F851" s="6"/>
      <c r="G851" s="6"/>
      <c r="H851" s="6"/>
      <c r="I851" s="6"/>
    </row>
    <row r="852" ht="12.0" customHeight="1">
      <c r="A852" s="6"/>
      <c r="B852" s="6"/>
      <c r="C852" s="6"/>
      <c r="D852" s="9"/>
      <c r="E852" s="6"/>
      <c r="F852" s="6"/>
      <c r="G852" s="6"/>
      <c r="H852" s="6"/>
      <c r="I852" s="6"/>
    </row>
    <row r="853" ht="12.0" customHeight="1">
      <c r="A853" s="6"/>
      <c r="B853" s="6"/>
      <c r="C853" s="6"/>
      <c r="D853" s="9"/>
      <c r="E853" s="6"/>
      <c r="F853" s="6"/>
      <c r="G853" s="6"/>
      <c r="H853" s="6"/>
      <c r="I853" s="6"/>
    </row>
    <row r="854" ht="12.0" customHeight="1">
      <c r="A854" s="6"/>
      <c r="B854" s="6"/>
      <c r="C854" s="6"/>
      <c r="D854" s="9"/>
      <c r="E854" s="6"/>
      <c r="F854" s="6"/>
      <c r="G854" s="6"/>
      <c r="H854" s="6"/>
      <c r="I854" s="6"/>
    </row>
    <row r="855" ht="12.0" customHeight="1">
      <c r="A855" s="6"/>
      <c r="B855" s="6"/>
      <c r="C855" s="6"/>
      <c r="D855" s="9"/>
      <c r="E855" s="6"/>
      <c r="F855" s="6"/>
      <c r="G855" s="6"/>
      <c r="H855" s="6"/>
      <c r="I855" s="6"/>
    </row>
    <row r="856" ht="12.0" customHeight="1">
      <c r="A856" s="6"/>
      <c r="B856" s="6"/>
      <c r="C856" s="6"/>
      <c r="D856" s="9"/>
      <c r="E856" s="6"/>
      <c r="F856" s="6"/>
      <c r="G856" s="6"/>
      <c r="H856" s="6"/>
      <c r="I856" s="6"/>
    </row>
    <row r="857" ht="12.0" customHeight="1">
      <c r="A857" s="6"/>
      <c r="B857" s="6"/>
      <c r="C857" s="6"/>
      <c r="D857" s="9"/>
      <c r="E857" s="6"/>
      <c r="F857" s="6"/>
      <c r="G857" s="6"/>
      <c r="H857" s="6"/>
      <c r="I857" s="6"/>
    </row>
    <row r="858" ht="12.0" customHeight="1">
      <c r="A858" s="6"/>
      <c r="B858" s="6"/>
      <c r="C858" s="6"/>
      <c r="D858" s="9"/>
      <c r="E858" s="6"/>
      <c r="F858" s="6"/>
      <c r="G858" s="6"/>
      <c r="H858" s="6"/>
      <c r="I858" s="6"/>
    </row>
    <row r="859" ht="12.0" customHeight="1">
      <c r="A859" s="6"/>
      <c r="B859" s="6"/>
      <c r="C859" s="6"/>
      <c r="D859" s="9"/>
      <c r="E859" s="6"/>
      <c r="F859" s="6"/>
      <c r="G859" s="6"/>
      <c r="H859" s="6"/>
      <c r="I859" s="6"/>
    </row>
    <row r="860" ht="12.0" customHeight="1">
      <c r="A860" s="6"/>
      <c r="B860" s="6"/>
      <c r="C860" s="6"/>
      <c r="D860" s="9"/>
      <c r="E860" s="6"/>
      <c r="F860" s="6"/>
      <c r="G860" s="6"/>
      <c r="H860" s="6"/>
      <c r="I860" s="6"/>
    </row>
    <row r="861" ht="12.0" customHeight="1">
      <c r="A861" s="6"/>
      <c r="B861" s="6"/>
      <c r="C861" s="6"/>
      <c r="D861" s="9"/>
      <c r="E861" s="6"/>
      <c r="F861" s="6"/>
      <c r="G861" s="6"/>
      <c r="H861" s="6"/>
      <c r="I861" s="6"/>
    </row>
    <row r="862" ht="12.0" customHeight="1">
      <c r="A862" s="6"/>
      <c r="B862" s="6"/>
      <c r="C862" s="6"/>
      <c r="D862" s="9"/>
      <c r="E862" s="6"/>
      <c r="F862" s="6"/>
      <c r="G862" s="6"/>
      <c r="H862" s="6"/>
      <c r="I862" s="6"/>
    </row>
    <row r="863" ht="12.0" customHeight="1">
      <c r="A863" s="6"/>
      <c r="B863" s="6"/>
      <c r="C863" s="6"/>
      <c r="D863" s="9"/>
      <c r="E863" s="6"/>
      <c r="F863" s="6"/>
      <c r="G863" s="6"/>
      <c r="H863" s="6"/>
      <c r="I863" s="6"/>
    </row>
    <row r="864" ht="12.0" customHeight="1">
      <c r="A864" s="6"/>
      <c r="B864" s="6"/>
      <c r="C864" s="6"/>
      <c r="D864" s="9"/>
      <c r="E864" s="6"/>
      <c r="F864" s="6"/>
      <c r="G864" s="6"/>
      <c r="H864" s="6"/>
      <c r="I864" s="6"/>
    </row>
    <row r="865" ht="12.0" customHeight="1">
      <c r="A865" s="6"/>
      <c r="B865" s="6"/>
      <c r="C865" s="6"/>
      <c r="D865" s="9"/>
      <c r="E865" s="6"/>
      <c r="F865" s="6"/>
      <c r="G865" s="6"/>
      <c r="H865" s="6"/>
      <c r="I865" s="6"/>
    </row>
    <row r="866" ht="12.0" customHeight="1">
      <c r="A866" s="6"/>
      <c r="B866" s="6"/>
      <c r="C866" s="6"/>
      <c r="D866" s="9"/>
      <c r="E866" s="6"/>
      <c r="F866" s="6"/>
      <c r="G866" s="6"/>
      <c r="H866" s="6"/>
      <c r="I866" s="6"/>
    </row>
    <row r="867" ht="12.0" customHeight="1">
      <c r="A867" s="6"/>
      <c r="B867" s="6"/>
      <c r="C867" s="6"/>
      <c r="D867" s="9"/>
      <c r="E867" s="6"/>
      <c r="F867" s="6"/>
      <c r="G867" s="6"/>
      <c r="H867" s="6"/>
      <c r="I867" s="6"/>
    </row>
    <row r="868" ht="12.0" customHeight="1">
      <c r="A868" s="6"/>
      <c r="B868" s="6"/>
      <c r="C868" s="6"/>
      <c r="D868" s="9"/>
      <c r="E868" s="6"/>
      <c r="F868" s="6"/>
      <c r="G868" s="6"/>
      <c r="H868" s="6"/>
      <c r="I868" s="6"/>
    </row>
    <row r="869" ht="12.0" customHeight="1">
      <c r="A869" s="6"/>
      <c r="B869" s="6"/>
      <c r="C869" s="6"/>
      <c r="D869" s="9"/>
      <c r="E869" s="6"/>
      <c r="F869" s="6"/>
      <c r="G869" s="6"/>
      <c r="H869" s="6"/>
      <c r="I869" s="6"/>
    </row>
    <row r="870" ht="12.0" customHeight="1">
      <c r="A870" s="6"/>
      <c r="B870" s="6"/>
      <c r="C870" s="6"/>
      <c r="D870" s="9"/>
      <c r="E870" s="6"/>
      <c r="F870" s="6"/>
      <c r="G870" s="6"/>
      <c r="H870" s="6"/>
      <c r="I870" s="6"/>
    </row>
    <row r="871" ht="12.0" customHeight="1">
      <c r="A871" s="6"/>
      <c r="B871" s="6"/>
      <c r="C871" s="6"/>
      <c r="D871" s="9"/>
      <c r="E871" s="6"/>
      <c r="F871" s="6"/>
      <c r="G871" s="6"/>
      <c r="H871" s="6"/>
      <c r="I871" s="6"/>
    </row>
    <row r="872" ht="12.0" customHeight="1">
      <c r="A872" s="6"/>
      <c r="B872" s="6"/>
      <c r="C872" s="6"/>
      <c r="D872" s="9"/>
      <c r="E872" s="6"/>
      <c r="F872" s="6"/>
      <c r="G872" s="6"/>
      <c r="H872" s="6"/>
      <c r="I872" s="6"/>
    </row>
    <row r="873" ht="12.0" customHeight="1">
      <c r="A873" s="6"/>
      <c r="B873" s="6"/>
      <c r="C873" s="6"/>
      <c r="D873" s="9"/>
      <c r="E873" s="6"/>
      <c r="F873" s="6"/>
      <c r="G873" s="6"/>
      <c r="H873" s="6"/>
      <c r="I873" s="6"/>
    </row>
    <row r="874" ht="12.0" customHeight="1">
      <c r="A874" s="6"/>
      <c r="B874" s="6"/>
      <c r="C874" s="6"/>
      <c r="D874" s="9"/>
      <c r="E874" s="6"/>
      <c r="F874" s="6"/>
      <c r="G874" s="6"/>
      <c r="H874" s="6"/>
      <c r="I874" s="6"/>
    </row>
    <row r="875" ht="12.0" customHeight="1">
      <c r="A875" s="6"/>
      <c r="B875" s="6"/>
      <c r="C875" s="6"/>
      <c r="D875" s="9"/>
      <c r="E875" s="6"/>
      <c r="F875" s="6"/>
      <c r="G875" s="6"/>
      <c r="H875" s="6"/>
      <c r="I875" s="6"/>
    </row>
    <row r="876" ht="12.0" customHeight="1">
      <c r="A876" s="6"/>
      <c r="B876" s="6"/>
      <c r="C876" s="6"/>
      <c r="D876" s="9"/>
      <c r="E876" s="6"/>
      <c r="F876" s="6"/>
      <c r="G876" s="6"/>
      <c r="H876" s="6"/>
      <c r="I876" s="6"/>
    </row>
    <row r="877" ht="12.0" customHeight="1">
      <c r="A877" s="6"/>
      <c r="B877" s="6"/>
      <c r="C877" s="6"/>
      <c r="D877" s="9"/>
      <c r="E877" s="6"/>
      <c r="F877" s="6"/>
      <c r="G877" s="6"/>
      <c r="H877" s="6"/>
      <c r="I877" s="6"/>
    </row>
    <row r="878" ht="12.0" customHeight="1">
      <c r="A878" s="6"/>
      <c r="B878" s="6"/>
      <c r="C878" s="6"/>
      <c r="D878" s="9"/>
      <c r="E878" s="6"/>
      <c r="F878" s="6"/>
      <c r="G878" s="6"/>
      <c r="H878" s="6"/>
      <c r="I878" s="6"/>
    </row>
    <row r="879" ht="12.0" customHeight="1">
      <c r="A879" s="6"/>
      <c r="B879" s="6"/>
      <c r="C879" s="6"/>
      <c r="D879" s="9"/>
      <c r="E879" s="6"/>
      <c r="F879" s="6"/>
      <c r="G879" s="6"/>
      <c r="H879" s="6"/>
      <c r="I879" s="6"/>
    </row>
    <row r="880" ht="12.0" customHeight="1">
      <c r="A880" s="6"/>
      <c r="B880" s="6"/>
      <c r="C880" s="6"/>
      <c r="D880" s="9"/>
      <c r="E880" s="6"/>
      <c r="F880" s="6"/>
      <c r="G880" s="6"/>
      <c r="H880" s="6"/>
      <c r="I880" s="6"/>
    </row>
    <row r="881" ht="12.0" customHeight="1">
      <c r="A881" s="6"/>
      <c r="B881" s="6"/>
      <c r="C881" s="6"/>
      <c r="D881" s="9"/>
      <c r="E881" s="6"/>
      <c r="F881" s="6"/>
      <c r="G881" s="6"/>
      <c r="H881" s="6"/>
      <c r="I881" s="6"/>
    </row>
    <row r="882" ht="12.0" customHeight="1">
      <c r="A882" s="6"/>
      <c r="B882" s="6"/>
      <c r="C882" s="6"/>
      <c r="D882" s="9"/>
      <c r="E882" s="6"/>
      <c r="F882" s="6"/>
      <c r="G882" s="6"/>
      <c r="H882" s="6"/>
      <c r="I882" s="6"/>
    </row>
    <row r="883" ht="12.0" customHeight="1">
      <c r="A883" s="6"/>
      <c r="B883" s="6"/>
      <c r="C883" s="6"/>
      <c r="D883" s="9"/>
      <c r="E883" s="6"/>
      <c r="F883" s="6"/>
      <c r="G883" s="6"/>
      <c r="H883" s="6"/>
      <c r="I883" s="6"/>
    </row>
    <row r="884" ht="12.0" customHeight="1">
      <c r="A884" s="6"/>
      <c r="B884" s="6"/>
      <c r="C884" s="6"/>
      <c r="D884" s="9"/>
      <c r="E884" s="6"/>
      <c r="F884" s="6"/>
      <c r="G884" s="6"/>
      <c r="H884" s="6"/>
      <c r="I884" s="6"/>
    </row>
    <row r="885" ht="12.0" customHeight="1">
      <c r="A885" s="6"/>
      <c r="B885" s="6"/>
      <c r="C885" s="6"/>
      <c r="D885" s="9"/>
      <c r="E885" s="6"/>
      <c r="F885" s="6"/>
      <c r="G885" s="6"/>
      <c r="H885" s="6"/>
      <c r="I885" s="6"/>
    </row>
    <row r="886" ht="12.0" customHeight="1">
      <c r="A886" s="6"/>
      <c r="B886" s="6"/>
      <c r="C886" s="6"/>
      <c r="D886" s="9"/>
      <c r="E886" s="6"/>
      <c r="F886" s="6"/>
      <c r="G886" s="6"/>
      <c r="H886" s="6"/>
      <c r="I886" s="6"/>
    </row>
    <row r="887" ht="12.0" customHeight="1">
      <c r="A887" s="6"/>
      <c r="B887" s="6"/>
      <c r="C887" s="6"/>
      <c r="D887" s="9"/>
      <c r="E887" s="6"/>
      <c r="F887" s="6"/>
      <c r="G887" s="6"/>
      <c r="H887" s="6"/>
      <c r="I887" s="6"/>
    </row>
    <row r="888" ht="12.0" customHeight="1">
      <c r="A888" s="6"/>
      <c r="B888" s="6"/>
      <c r="C888" s="6"/>
      <c r="D888" s="9"/>
      <c r="E888" s="6"/>
      <c r="F888" s="6"/>
      <c r="G888" s="6"/>
      <c r="H888" s="6"/>
      <c r="I888" s="6"/>
    </row>
    <row r="889" ht="12.0" customHeight="1">
      <c r="A889" s="6"/>
      <c r="B889" s="6"/>
      <c r="C889" s="6"/>
      <c r="D889" s="9"/>
      <c r="E889" s="6"/>
      <c r="F889" s="6"/>
      <c r="G889" s="6"/>
      <c r="H889" s="6"/>
      <c r="I889" s="6"/>
    </row>
    <row r="890" ht="12.0" customHeight="1">
      <c r="A890" s="6"/>
      <c r="B890" s="6"/>
      <c r="C890" s="6"/>
      <c r="D890" s="9"/>
      <c r="E890" s="6"/>
      <c r="F890" s="6"/>
      <c r="G890" s="6"/>
      <c r="H890" s="6"/>
      <c r="I890" s="6"/>
    </row>
    <row r="891" ht="12.0" customHeight="1">
      <c r="A891" s="6"/>
      <c r="B891" s="6"/>
      <c r="C891" s="6"/>
      <c r="D891" s="9"/>
      <c r="E891" s="6"/>
      <c r="F891" s="6"/>
      <c r="G891" s="6"/>
      <c r="H891" s="6"/>
      <c r="I891" s="6"/>
    </row>
    <row r="892" ht="12.0" customHeight="1">
      <c r="A892" s="6"/>
      <c r="B892" s="6"/>
      <c r="C892" s="6"/>
      <c r="D892" s="9"/>
      <c r="E892" s="6"/>
      <c r="F892" s="6"/>
      <c r="G892" s="6"/>
      <c r="H892" s="6"/>
      <c r="I892" s="6"/>
    </row>
    <row r="893" ht="12.0" customHeight="1">
      <c r="A893" s="6"/>
      <c r="B893" s="6"/>
      <c r="C893" s="6"/>
      <c r="D893" s="9"/>
      <c r="E893" s="6"/>
      <c r="F893" s="6"/>
      <c r="G893" s="6"/>
      <c r="H893" s="6"/>
      <c r="I893" s="6"/>
    </row>
    <row r="894" ht="12.0" customHeight="1">
      <c r="A894" s="6"/>
      <c r="B894" s="6"/>
      <c r="C894" s="6"/>
      <c r="D894" s="9"/>
      <c r="E894" s="6"/>
      <c r="F894" s="6"/>
      <c r="G894" s="6"/>
      <c r="H894" s="6"/>
      <c r="I894" s="6"/>
    </row>
    <row r="895" ht="12.0" customHeight="1">
      <c r="A895" s="6"/>
      <c r="B895" s="6"/>
      <c r="C895" s="6"/>
      <c r="D895" s="9"/>
      <c r="E895" s="6"/>
      <c r="F895" s="6"/>
      <c r="G895" s="6"/>
      <c r="H895" s="6"/>
      <c r="I895" s="6"/>
    </row>
    <row r="896" ht="12.0" customHeight="1">
      <c r="A896" s="6"/>
      <c r="B896" s="6"/>
      <c r="C896" s="6"/>
      <c r="D896" s="9"/>
      <c r="E896" s="6"/>
      <c r="F896" s="6"/>
      <c r="G896" s="6"/>
      <c r="H896" s="6"/>
      <c r="I896" s="6"/>
    </row>
    <row r="897" ht="12.0" customHeight="1">
      <c r="A897" s="6"/>
      <c r="B897" s="6"/>
      <c r="C897" s="6"/>
      <c r="D897" s="9"/>
      <c r="E897" s="6"/>
      <c r="F897" s="6"/>
      <c r="G897" s="6"/>
      <c r="H897" s="6"/>
      <c r="I897" s="6"/>
    </row>
    <row r="898" ht="12.0" customHeight="1">
      <c r="A898" s="6"/>
      <c r="B898" s="6"/>
      <c r="C898" s="6"/>
      <c r="D898" s="9"/>
      <c r="E898" s="6"/>
      <c r="F898" s="6"/>
      <c r="G898" s="6"/>
      <c r="H898" s="6"/>
      <c r="I898" s="6"/>
    </row>
    <row r="899" ht="12.0" customHeight="1">
      <c r="A899" s="6"/>
      <c r="B899" s="6"/>
      <c r="C899" s="6"/>
      <c r="D899" s="9"/>
      <c r="E899" s="6"/>
      <c r="F899" s="6"/>
      <c r="G899" s="6"/>
      <c r="H899" s="6"/>
      <c r="I899" s="6"/>
    </row>
    <row r="900" ht="12.0" customHeight="1">
      <c r="A900" s="6"/>
      <c r="B900" s="6"/>
      <c r="C900" s="6"/>
      <c r="D900" s="9"/>
      <c r="E900" s="6"/>
      <c r="F900" s="6"/>
      <c r="G900" s="6"/>
      <c r="H900" s="6"/>
      <c r="I900" s="6"/>
    </row>
    <row r="901" ht="12.0" customHeight="1">
      <c r="A901" s="6"/>
      <c r="B901" s="6"/>
      <c r="C901" s="6"/>
      <c r="D901" s="9"/>
      <c r="E901" s="6"/>
      <c r="F901" s="6"/>
      <c r="G901" s="6"/>
      <c r="H901" s="6"/>
      <c r="I901" s="6"/>
    </row>
    <row r="902" ht="12.0" customHeight="1">
      <c r="A902" s="6"/>
      <c r="B902" s="6"/>
      <c r="C902" s="6"/>
      <c r="D902" s="9"/>
      <c r="E902" s="6"/>
      <c r="F902" s="6"/>
      <c r="G902" s="6"/>
      <c r="H902" s="6"/>
      <c r="I902" s="6"/>
    </row>
    <row r="903" ht="12.0" customHeight="1">
      <c r="A903" s="6"/>
      <c r="B903" s="6"/>
      <c r="C903" s="6"/>
      <c r="D903" s="9"/>
      <c r="E903" s="6"/>
      <c r="F903" s="6"/>
      <c r="G903" s="6"/>
      <c r="H903" s="6"/>
      <c r="I903" s="6"/>
    </row>
    <row r="904" ht="12.0" customHeight="1">
      <c r="A904" s="6"/>
      <c r="B904" s="6"/>
      <c r="C904" s="6"/>
      <c r="D904" s="9"/>
      <c r="E904" s="6"/>
      <c r="F904" s="6"/>
      <c r="G904" s="6"/>
      <c r="H904" s="6"/>
      <c r="I904" s="6"/>
    </row>
    <row r="905" ht="12.0" customHeight="1">
      <c r="A905" s="6"/>
      <c r="B905" s="6"/>
      <c r="C905" s="6"/>
      <c r="D905" s="9"/>
      <c r="E905" s="6"/>
      <c r="F905" s="6"/>
      <c r="G905" s="6"/>
      <c r="H905" s="6"/>
      <c r="I905" s="6"/>
    </row>
    <row r="906" ht="12.0" customHeight="1">
      <c r="A906" s="6"/>
      <c r="B906" s="6"/>
      <c r="C906" s="6"/>
      <c r="D906" s="9"/>
      <c r="E906" s="6"/>
      <c r="F906" s="6"/>
      <c r="G906" s="6"/>
      <c r="H906" s="6"/>
      <c r="I906" s="6"/>
    </row>
    <row r="907" ht="12.0" customHeight="1">
      <c r="A907" s="6"/>
      <c r="B907" s="6"/>
      <c r="C907" s="6"/>
      <c r="D907" s="9"/>
      <c r="E907" s="6"/>
      <c r="F907" s="6"/>
      <c r="G907" s="6"/>
      <c r="H907" s="6"/>
      <c r="I907" s="6"/>
    </row>
    <row r="908" ht="12.0" customHeight="1">
      <c r="A908" s="6"/>
      <c r="B908" s="6"/>
      <c r="C908" s="6"/>
      <c r="D908" s="9"/>
      <c r="E908" s="6"/>
      <c r="F908" s="6"/>
      <c r="G908" s="6"/>
      <c r="H908" s="6"/>
      <c r="I908" s="6"/>
    </row>
    <row r="909" ht="12.0" customHeight="1">
      <c r="A909" s="6"/>
      <c r="B909" s="6"/>
      <c r="C909" s="6"/>
      <c r="D909" s="9"/>
      <c r="E909" s="6"/>
      <c r="F909" s="6"/>
      <c r="G909" s="6"/>
      <c r="H909" s="6"/>
      <c r="I909" s="6"/>
    </row>
    <row r="910" ht="12.0" customHeight="1">
      <c r="A910" s="6"/>
      <c r="B910" s="6"/>
      <c r="C910" s="6"/>
      <c r="D910" s="9"/>
      <c r="E910" s="6"/>
      <c r="F910" s="6"/>
      <c r="G910" s="6"/>
      <c r="H910" s="6"/>
      <c r="I910" s="6"/>
    </row>
    <row r="911" ht="12.0" customHeight="1">
      <c r="A911" s="6"/>
      <c r="B911" s="6"/>
      <c r="C911" s="6"/>
      <c r="D911" s="9"/>
      <c r="E911" s="6"/>
      <c r="F911" s="6"/>
      <c r="G911" s="6"/>
      <c r="H911" s="6"/>
      <c r="I911" s="6"/>
    </row>
    <row r="912" ht="12.0" customHeight="1">
      <c r="A912" s="6"/>
      <c r="B912" s="6"/>
      <c r="C912" s="6"/>
      <c r="D912" s="9"/>
      <c r="E912" s="6"/>
      <c r="F912" s="6"/>
      <c r="G912" s="6"/>
      <c r="H912" s="6"/>
      <c r="I912" s="6"/>
    </row>
    <row r="913" ht="12.0" customHeight="1">
      <c r="A913" s="6"/>
      <c r="B913" s="6"/>
      <c r="C913" s="6"/>
      <c r="D913" s="9"/>
      <c r="E913" s="6"/>
      <c r="F913" s="6"/>
      <c r="G913" s="6"/>
      <c r="H913" s="6"/>
      <c r="I913" s="6"/>
    </row>
    <row r="914" ht="12.0" customHeight="1">
      <c r="A914" s="6"/>
      <c r="B914" s="6"/>
      <c r="C914" s="6"/>
      <c r="D914" s="9"/>
      <c r="E914" s="6"/>
      <c r="F914" s="6"/>
      <c r="G914" s="6"/>
      <c r="H914" s="6"/>
      <c r="I914" s="6"/>
    </row>
    <row r="915" ht="12.0" customHeight="1">
      <c r="A915" s="6"/>
      <c r="B915" s="6"/>
      <c r="C915" s="6"/>
      <c r="D915" s="9"/>
      <c r="E915" s="6"/>
      <c r="F915" s="6"/>
      <c r="G915" s="6"/>
      <c r="H915" s="6"/>
      <c r="I915" s="6"/>
    </row>
    <row r="916" ht="12.0" customHeight="1">
      <c r="A916" s="6"/>
      <c r="B916" s="6"/>
      <c r="C916" s="6"/>
      <c r="D916" s="9"/>
      <c r="E916" s="6"/>
      <c r="F916" s="6"/>
      <c r="G916" s="6"/>
      <c r="H916" s="6"/>
      <c r="I916" s="6"/>
    </row>
    <row r="917" ht="12.0" customHeight="1">
      <c r="A917" s="6"/>
      <c r="B917" s="6"/>
      <c r="C917" s="6"/>
      <c r="D917" s="9"/>
      <c r="E917" s="6"/>
      <c r="F917" s="6"/>
      <c r="G917" s="6"/>
      <c r="H917" s="6"/>
      <c r="I917" s="6"/>
    </row>
    <row r="918" ht="12.0" customHeight="1">
      <c r="A918" s="6"/>
      <c r="B918" s="6"/>
      <c r="C918" s="6"/>
      <c r="D918" s="9"/>
      <c r="E918" s="6"/>
      <c r="F918" s="6"/>
      <c r="G918" s="6"/>
      <c r="H918" s="6"/>
      <c r="I918" s="6"/>
    </row>
    <row r="919" ht="12.0" customHeight="1">
      <c r="A919" s="6"/>
      <c r="B919" s="6"/>
      <c r="C919" s="6"/>
      <c r="D919" s="9"/>
      <c r="E919" s="6"/>
      <c r="F919" s="6"/>
      <c r="G919" s="6"/>
      <c r="H919" s="6"/>
      <c r="I919" s="6"/>
    </row>
    <row r="920" ht="12.0" customHeight="1">
      <c r="A920" s="6"/>
      <c r="B920" s="6"/>
      <c r="C920" s="6"/>
      <c r="D920" s="9"/>
      <c r="E920" s="6"/>
      <c r="F920" s="6"/>
      <c r="G920" s="6"/>
      <c r="H920" s="6"/>
      <c r="I920" s="6"/>
    </row>
    <row r="921" ht="12.0" customHeight="1">
      <c r="A921" s="6"/>
      <c r="B921" s="6"/>
      <c r="C921" s="6"/>
      <c r="D921" s="9"/>
      <c r="E921" s="6"/>
      <c r="F921" s="6"/>
      <c r="G921" s="6"/>
      <c r="H921" s="6"/>
      <c r="I921" s="6"/>
    </row>
    <row r="922" ht="12.0" customHeight="1">
      <c r="A922" s="6"/>
      <c r="B922" s="6"/>
      <c r="C922" s="6"/>
      <c r="D922" s="9"/>
      <c r="E922" s="6"/>
      <c r="F922" s="6"/>
      <c r="G922" s="6"/>
      <c r="H922" s="6"/>
      <c r="I922" s="6"/>
    </row>
    <row r="923" ht="12.0" customHeight="1">
      <c r="A923" s="6"/>
      <c r="B923" s="6"/>
      <c r="C923" s="6"/>
      <c r="D923" s="9"/>
      <c r="E923" s="6"/>
      <c r="F923" s="6"/>
      <c r="G923" s="6"/>
      <c r="H923" s="6"/>
      <c r="I923" s="6"/>
    </row>
    <row r="924" ht="12.0" customHeight="1">
      <c r="A924" s="6"/>
      <c r="B924" s="6"/>
      <c r="C924" s="6"/>
      <c r="D924" s="9"/>
      <c r="E924" s="6"/>
      <c r="F924" s="6"/>
      <c r="G924" s="6"/>
      <c r="H924" s="6"/>
      <c r="I924" s="6"/>
    </row>
    <row r="925" ht="12.0" customHeight="1">
      <c r="A925" s="6"/>
      <c r="B925" s="6"/>
      <c r="C925" s="6"/>
      <c r="D925" s="9"/>
      <c r="E925" s="6"/>
      <c r="F925" s="6"/>
      <c r="G925" s="6"/>
      <c r="H925" s="6"/>
      <c r="I925" s="6"/>
    </row>
    <row r="926" ht="12.0" customHeight="1">
      <c r="A926" s="6"/>
      <c r="B926" s="6"/>
      <c r="C926" s="6"/>
      <c r="D926" s="9"/>
      <c r="E926" s="6"/>
      <c r="F926" s="6"/>
      <c r="G926" s="6"/>
      <c r="H926" s="6"/>
      <c r="I926" s="6"/>
    </row>
    <row r="927" ht="12.0" customHeight="1">
      <c r="A927" s="6"/>
      <c r="B927" s="6"/>
      <c r="C927" s="6"/>
      <c r="D927" s="9"/>
      <c r="E927" s="6"/>
      <c r="F927" s="6"/>
      <c r="G927" s="6"/>
      <c r="H927" s="6"/>
      <c r="I927" s="6"/>
    </row>
    <row r="928" ht="12.0" customHeight="1">
      <c r="A928" s="6"/>
      <c r="B928" s="6"/>
      <c r="C928" s="6"/>
      <c r="D928" s="9"/>
      <c r="E928" s="6"/>
      <c r="F928" s="6"/>
      <c r="G928" s="6"/>
      <c r="H928" s="6"/>
      <c r="I928" s="6"/>
    </row>
    <row r="929" ht="12.0" customHeight="1">
      <c r="A929" s="6"/>
      <c r="B929" s="6"/>
      <c r="C929" s="6"/>
      <c r="D929" s="9"/>
      <c r="E929" s="6"/>
      <c r="F929" s="6"/>
      <c r="G929" s="6"/>
      <c r="H929" s="6"/>
      <c r="I929" s="6"/>
    </row>
    <row r="930" ht="12.0" customHeight="1">
      <c r="A930" s="6"/>
      <c r="B930" s="6"/>
      <c r="C930" s="6"/>
      <c r="D930" s="9"/>
      <c r="E930" s="6"/>
      <c r="F930" s="6"/>
      <c r="G930" s="6"/>
      <c r="H930" s="6"/>
      <c r="I930" s="6"/>
    </row>
    <row r="931" ht="12.0" customHeight="1">
      <c r="A931" s="6"/>
      <c r="B931" s="6"/>
      <c r="C931" s="6"/>
      <c r="D931" s="9"/>
      <c r="E931" s="6"/>
      <c r="F931" s="6"/>
      <c r="G931" s="6"/>
      <c r="H931" s="6"/>
      <c r="I931" s="6"/>
    </row>
    <row r="932" ht="12.0" customHeight="1">
      <c r="A932" s="6"/>
      <c r="B932" s="6"/>
      <c r="C932" s="6"/>
      <c r="D932" s="9"/>
      <c r="E932" s="6"/>
      <c r="F932" s="6"/>
      <c r="G932" s="6"/>
      <c r="H932" s="6"/>
      <c r="I932" s="6"/>
    </row>
    <row r="933" ht="12.0" customHeight="1">
      <c r="A933" s="6"/>
      <c r="B933" s="6"/>
      <c r="C933" s="6"/>
      <c r="D933" s="9"/>
      <c r="E933" s="6"/>
      <c r="F933" s="6"/>
      <c r="G933" s="6"/>
      <c r="H933" s="6"/>
      <c r="I933" s="6"/>
    </row>
    <row r="934" ht="12.0" customHeight="1">
      <c r="A934" s="6"/>
      <c r="B934" s="6"/>
      <c r="C934" s="6"/>
      <c r="D934" s="9"/>
      <c r="E934" s="6"/>
      <c r="F934" s="6"/>
      <c r="G934" s="6"/>
      <c r="H934" s="6"/>
      <c r="I934" s="6"/>
    </row>
    <row r="935" ht="12.0" customHeight="1">
      <c r="A935" s="6"/>
      <c r="B935" s="6"/>
      <c r="C935" s="6"/>
      <c r="D935" s="9"/>
      <c r="E935" s="6"/>
      <c r="F935" s="6"/>
      <c r="G935" s="6"/>
      <c r="H935" s="6"/>
      <c r="I935" s="6"/>
    </row>
    <row r="936" ht="12.0" customHeight="1">
      <c r="A936" s="6"/>
      <c r="B936" s="6"/>
      <c r="C936" s="6"/>
      <c r="D936" s="9"/>
      <c r="E936" s="6"/>
      <c r="F936" s="6"/>
      <c r="G936" s="6"/>
      <c r="H936" s="6"/>
      <c r="I936" s="6"/>
    </row>
    <row r="937" ht="12.0" customHeight="1">
      <c r="A937" s="6"/>
      <c r="B937" s="6"/>
      <c r="C937" s="6"/>
      <c r="D937" s="9"/>
      <c r="E937" s="6"/>
      <c r="F937" s="6"/>
      <c r="G937" s="6"/>
      <c r="H937" s="6"/>
      <c r="I937" s="6"/>
    </row>
    <row r="938" ht="12.0" customHeight="1">
      <c r="A938" s="6"/>
      <c r="B938" s="6"/>
      <c r="C938" s="6"/>
      <c r="D938" s="9"/>
      <c r="E938" s="6"/>
      <c r="F938" s="6"/>
      <c r="G938" s="6"/>
      <c r="H938" s="6"/>
      <c r="I938" s="6"/>
    </row>
    <row r="939" ht="12.0" customHeight="1">
      <c r="A939" s="6"/>
      <c r="B939" s="6"/>
      <c r="C939" s="6"/>
      <c r="D939" s="9"/>
      <c r="E939" s="6"/>
      <c r="F939" s="6"/>
      <c r="G939" s="6"/>
      <c r="H939" s="6"/>
      <c r="I939" s="6"/>
    </row>
    <row r="940" ht="12.0" customHeight="1">
      <c r="A940" s="6"/>
      <c r="B940" s="6"/>
      <c r="C940" s="6"/>
      <c r="D940" s="9"/>
      <c r="E940" s="6"/>
      <c r="F940" s="6"/>
      <c r="G940" s="6"/>
      <c r="H940" s="6"/>
      <c r="I940" s="6"/>
    </row>
    <row r="941" ht="12.0" customHeight="1">
      <c r="A941" s="6"/>
      <c r="B941" s="6"/>
      <c r="C941" s="6"/>
      <c r="D941" s="9"/>
      <c r="E941" s="6"/>
      <c r="F941" s="6"/>
      <c r="G941" s="6"/>
      <c r="H941" s="6"/>
      <c r="I941" s="6"/>
    </row>
    <row r="942" ht="12.0" customHeight="1">
      <c r="A942" s="6"/>
      <c r="B942" s="6"/>
      <c r="C942" s="6"/>
      <c r="D942" s="9"/>
      <c r="E942" s="6"/>
      <c r="F942" s="6"/>
      <c r="G942" s="6"/>
      <c r="H942" s="6"/>
      <c r="I942" s="6"/>
    </row>
    <row r="943" ht="12.0" customHeight="1">
      <c r="A943" s="6"/>
      <c r="B943" s="6"/>
      <c r="C943" s="6"/>
      <c r="D943" s="9"/>
      <c r="E943" s="6"/>
      <c r="F943" s="6"/>
      <c r="G943" s="6"/>
      <c r="H943" s="6"/>
      <c r="I943" s="6"/>
    </row>
    <row r="944" ht="12.0" customHeight="1">
      <c r="A944" s="6"/>
      <c r="B944" s="6"/>
      <c r="C944" s="6"/>
      <c r="D944" s="9"/>
      <c r="E944" s="6"/>
      <c r="F944" s="6"/>
      <c r="G944" s="6"/>
      <c r="H944" s="6"/>
      <c r="I944" s="6"/>
    </row>
    <row r="945" ht="12.0" customHeight="1">
      <c r="A945" s="6"/>
      <c r="B945" s="6"/>
      <c r="C945" s="6"/>
      <c r="D945" s="9"/>
      <c r="E945" s="6"/>
      <c r="F945" s="6"/>
      <c r="G945" s="6"/>
      <c r="H945" s="6"/>
      <c r="I945" s="6"/>
    </row>
    <row r="946" ht="12.0" customHeight="1">
      <c r="A946" s="6"/>
      <c r="B946" s="6"/>
      <c r="C946" s="6"/>
      <c r="D946" s="9"/>
      <c r="E946" s="6"/>
      <c r="F946" s="6"/>
      <c r="G946" s="6"/>
      <c r="H946" s="6"/>
      <c r="I946" s="6"/>
    </row>
    <row r="947" ht="12.0" customHeight="1">
      <c r="A947" s="6"/>
      <c r="B947" s="6"/>
      <c r="C947" s="6"/>
      <c r="D947" s="9"/>
      <c r="E947" s="6"/>
      <c r="F947" s="6"/>
      <c r="G947" s="6"/>
      <c r="H947" s="6"/>
      <c r="I947" s="6"/>
    </row>
    <row r="948" ht="12.0" customHeight="1">
      <c r="A948" s="6"/>
      <c r="B948" s="6"/>
      <c r="C948" s="6"/>
      <c r="D948" s="9"/>
      <c r="E948" s="6"/>
      <c r="F948" s="6"/>
      <c r="G948" s="6"/>
      <c r="H948" s="6"/>
      <c r="I948" s="6"/>
    </row>
    <row r="949" ht="12.0" customHeight="1">
      <c r="A949" s="6"/>
      <c r="B949" s="6"/>
      <c r="C949" s="6"/>
      <c r="D949" s="9"/>
      <c r="E949" s="6"/>
      <c r="F949" s="6"/>
      <c r="G949" s="6"/>
      <c r="H949" s="6"/>
      <c r="I949" s="6"/>
    </row>
    <row r="950" ht="12.0" customHeight="1">
      <c r="A950" s="6"/>
      <c r="B950" s="6"/>
      <c r="C950" s="6"/>
      <c r="D950" s="9"/>
      <c r="E950" s="6"/>
      <c r="F950" s="6"/>
      <c r="G950" s="6"/>
      <c r="H950" s="6"/>
      <c r="I950" s="6"/>
    </row>
    <row r="951" ht="12.0" customHeight="1">
      <c r="A951" s="6"/>
      <c r="B951" s="6"/>
      <c r="C951" s="6"/>
      <c r="D951" s="9"/>
      <c r="E951" s="6"/>
      <c r="F951" s="6"/>
      <c r="G951" s="6"/>
      <c r="H951" s="6"/>
      <c r="I951" s="6"/>
    </row>
    <row r="952" ht="12.0" customHeight="1">
      <c r="A952" s="6"/>
      <c r="B952" s="6"/>
      <c r="C952" s="6"/>
      <c r="D952" s="9"/>
      <c r="E952" s="6"/>
      <c r="F952" s="6"/>
      <c r="G952" s="6"/>
      <c r="H952" s="6"/>
      <c r="I952" s="6"/>
    </row>
    <row r="953" ht="12.0" customHeight="1">
      <c r="A953" s="6"/>
      <c r="B953" s="6"/>
      <c r="C953" s="6"/>
      <c r="D953" s="9"/>
      <c r="E953" s="6"/>
      <c r="F953" s="6"/>
      <c r="G953" s="6"/>
      <c r="H953" s="6"/>
      <c r="I953" s="6"/>
    </row>
    <row r="954" ht="12.0" customHeight="1">
      <c r="A954" s="6"/>
      <c r="B954" s="6"/>
      <c r="C954" s="6"/>
      <c r="D954" s="9"/>
      <c r="E954" s="6"/>
      <c r="F954" s="6"/>
      <c r="G954" s="6"/>
      <c r="H954" s="6"/>
      <c r="I954" s="6"/>
    </row>
    <row r="955" ht="12.0" customHeight="1">
      <c r="A955" s="6"/>
      <c r="B955" s="6"/>
      <c r="C955" s="6"/>
      <c r="D955" s="9"/>
      <c r="E955" s="6"/>
      <c r="F955" s="6"/>
      <c r="G955" s="6"/>
      <c r="H955" s="6"/>
      <c r="I955" s="6"/>
    </row>
    <row r="956" ht="12.0" customHeight="1">
      <c r="A956" s="6"/>
      <c r="B956" s="6"/>
      <c r="C956" s="6"/>
      <c r="D956" s="9"/>
      <c r="E956" s="6"/>
      <c r="F956" s="6"/>
      <c r="G956" s="6"/>
      <c r="H956" s="6"/>
      <c r="I956" s="6"/>
    </row>
    <row r="957" ht="12.0" customHeight="1">
      <c r="A957" s="6"/>
      <c r="B957" s="6"/>
      <c r="C957" s="6"/>
      <c r="D957" s="9"/>
      <c r="E957" s="6"/>
      <c r="F957" s="6"/>
      <c r="G957" s="6"/>
      <c r="H957" s="6"/>
      <c r="I957" s="6"/>
    </row>
    <row r="958" ht="12.0" customHeight="1">
      <c r="A958" s="6"/>
      <c r="B958" s="6"/>
      <c r="C958" s="6"/>
      <c r="D958" s="9"/>
      <c r="E958" s="6"/>
      <c r="F958" s="6"/>
      <c r="G958" s="6"/>
      <c r="H958" s="6"/>
      <c r="I958" s="6"/>
    </row>
    <row r="959" ht="12.0" customHeight="1">
      <c r="A959" s="6"/>
      <c r="B959" s="6"/>
      <c r="C959" s="6"/>
      <c r="D959" s="9"/>
      <c r="E959" s="6"/>
      <c r="F959" s="6"/>
      <c r="G959" s="6"/>
      <c r="H959" s="6"/>
      <c r="I959" s="6"/>
    </row>
    <row r="960" ht="12.0" customHeight="1">
      <c r="A960" s="6"/>
      <c r="B960" s="6"/>
      <c r="C960" s="6"/>
      <c r="D960" s="9"/>
      <c r="E960" s="6"/>
      <c r="F960" s="6"/>
      <c r="G960" s="6"/>
      <c r="H960" s="6"/>
      <c r="I960" s="6"/>
    </row>
    <row r="961" ht="12.0" customHeight="1">
      <c r="A961" s="6"/>
      <c r="B961" s="6"/>
      <c r="C961" s="6"/>
      <c r="D961" s="9"/>
      <c r="E961" s="6"/>
      <c r="F961" s="6"/>
      <c r="G961" s="6"/>
      <c r="H961" s="6"/>
      <c r="I961" s="6"/>
    </row>
    <row r="962" ht="12.0" customHeight="1">
      <c r="A962" s="6"/>
      <c r="B962" s="6"/>
      <c r="C962" s="6"/>
      <c r="D962" s="9"/>
      <c r="E962" s="6"/>
      <c r="F962" s="6"/>
      <c r="G962" s="6"/>
      <c r="H962" s="6"/>
      <c r="I962" s="6"/>
    </row>
    <row r="963" ht="12.0" customHeight="1">
      <c r="A963" s="6"/>
      <c r="B963" s="6"/>
      <c r="C963" s="6"/>
      <c r="D963" s="9"/>
      <c r="E963" s="6"/>
      <c r="F963" s="6"/>
      <c r="G963" s="6"/>
      <c r="H963" s="6"/>
      <c r="I963" s="6"/>
    </row>
    <row r="964" ht="12.0" customHeight="1">
      <c r="A964" s="6"/>
      <c r="B964" s="6"/>
      <c r="C964" s="6"/>
      <c r="D964" s="9"/>
      <c r="E964" s="6"/>
      <c r="F964" s="6"/>
      <c r="G964" s="6"/>
      <c r="H964" s="6"/>
      <c r="I964" s="6"/>
    </row>
    <row r="965" ht="12.0" customHeight="1">
      <c r="A965" s="6"/>
      <c r="B965" s="6"/>
      <c r="C965" s="6"/>
      <c r="D965" s="9"/>
      <c r="E965" s="6"/>
      <c r="F965" s="6"/>
      <c r="G965" s="6"/>
      <c r="H965" s="6"/>
      <c r="I965" s="6"/>
    </row>
    <row r="966" ht="12.0" customHeight="1">
      <c r="A966" s="6"/>
      <c r="B966" s="6"/>
      <c r="C966" s="6"/>
      <c r="D966" s="9"/>
      <c r="E966" s="6"/>
      <c r="F966" s="6"/>
      <c r="G966" s="6"/>
      <c r="H966" s="6"/>
      <c r="I966" s="6"/>
    </row>
    <row r="967" ht="12.0" customHeight="1">
      <c r="A967" s="6"/>
      <c r="B967" s="6"/>
      <c r="C967" s="6"/>
      <c r="D967" s="9"/>
      <c r="E967" s="6"/>
      <c r="F967" s="6"/>
      <c r="G967" s="6"/>
      <c r="H967" s="6"/>
      <c r="I967" s="6"/>
    </row>
    <row r="968" ht="12.0" customHeight="1">
      <c r="A968" s="6"/>
      <c r="B968" s="6"/>
      <c r="C968" s="6"/>
      <c r="D968" s="9"/>
      <c r="E968" s="6"/>
      <c r="F968" s="6"/>
      <c r="G968" s="6"/>
      <c r="H968" s="6"/>
      <c r="I968" s="6"/>
    </row>
    <row r="969" ht="12.0" customHeight="1">
      <c r="A969" s="6"/>
      <c r="B969" s="6"/>
      <c r="C969" s="6"/>
      <c r="D969" s="9"/>
      <c r="E969" s="6"/>
      <c r="F969" s="6"/>
      <c r="G969" s="6"/>
      <c r="H969" s="6"/>
      <c r="I969" s="6"/>
    </row>
    <row r="970" ht="12.0" customHeight="1">
      <c r="A970" s="6"/>
      <c r="B970" s="6"/>
      <c r="C970" s="6"/>
      <c r="D970" s="9"/>
      <c r="E970" s="6"/>
      <c r="F970" s="6"/>
      <c r="G970" s="6"/>
      <c r="H970" s="6"/>
      <c r="I970" s="6"/>
    </row>
    <row r="971" ht="12.0" customHeight="1">
      <c r="A971" s="6"/>
      <c r="B971" s="6"/>
      <c r="C971" s="6"/>
      <c r="D971" s="9"/>
      <c r="E971" s="6"/>
      <c r="F971" s="6"/>
      <c r="G971" s="6"/>
      <c r="H971" s="6"/>
      <c r="I971" s="6"/>
    </row>
    <row r="972" ht="12.0" customHeight="1">
      <c r="A972" s="6"/>
      <c r="B972" s="6"/>
      <c r="C972" s="6"/>
      <c r="D972" s="9"/>
      <c r="E972" s="6"/>
      <c r="F972" s="6"/>
      <c r="G972" s="6"/>
      <c r="H972" s="6"/>
      <c r="I972" s="6"/>
    </row>
    <row r="973" ht="12.0" customHeight="1">
      <c r="A973" s="6"/>
      <c r="B973" s="6"/>
      <c r="C973" s="6"/>
      <c r="D973" s="9"/>
      <c r="E973" s="6"/>
      <c r="F973" s="6"/>
      <c r="G973" s="6"/>
      <c r="H973" s="6"/>
      <c r="I973" s="6"/>
    </row>
    <row r="974" ht="12.0" customHeight="1">
      <c r="A974" s="6"/>
      <c r="B974" s="6"/>
      <c r="C974" s="6"/>
      <c r="D974" s="9"/>
      <c r="E974" s="6"/>
      <c r="F974" s="6"/>
      <c r="G974" s="6"/>
      <c r="H974" s="6"/>
      <c r="I974" s="6"/>
    </row>
    <row r="975" ht="12.0" customHeight="1">
      <c r="A975" s="6"/>
      <c r="B975" s="6"/>
      <c r="C975" s="6"/>
      <c r="D975" s="9"/>
      <c r="E975" s="6"/>
      <c r="F975" s="6"/>
      <c r="G975" s="6"/>
      <c r="H975" s="6"/>
      <c r="I975" s="6"/>
    </row>
    <row r="976" ht="12.0" customHeight="1">
      <c r="A976" s="6"/>
      <c r="B976" s="6"/>
      <c r="C976" s="6"/>
      <c r="D976" s="9"/>
      <c r="E976" s="6"/>
      <c r="F976" s="6"/>
      <c r="G976" s="6"/>
      <c r="H976" s="6"/>
      <c r="I976" s="6"/>
    </row>
    <row r="977" ht="12.0" customHeight="1">
      <c r="A977" s="6"/>
      <c r="B977" s="6"/>
      <c r="C977" s="6"/>
      <c r="D977" s="9"/>
      <c r="E977" s="6"/>
      <c r="F977" s="6"/>
      <c r="G977" s="6"/>
      <c r="H977" s="6"/>
      <c r="I977" s="6"/>
    </row>
    <row r="978" ht="12.0" customHeight="1">
      <c r="A978" s="6"/>
      <c r="B978" s="6"/>
      <c r="C978" s="6"/>
      <c r="D978" s="9"/>
      <c r="E978" s="6"/>
      <c r="F978" s="6"/>
      <c r="G978" s="6"/>
      <c r="H978" s="6"/>
      <c r="I978" s="6"/>
    </row>
    <row r="979" ht="12.0" customHeight="1">
      <c r="A979" s="6"/>
      <c r="B979" s="6"/>
      <c r="C979" s="6"/>
      <c r="D979" s="9"/>
      <c r="E979" s="6"/>
      <c r="F979" s="6"/>
      <c r="G979" s="6"/>
      <c r="H979" s="6"/>
      <c r="I979" s="6"/>
    </row>
    <row r="980" ht="12.0" customHeight="1">
      <c r="A980" s="6"/>
      <c r="B980" s="6"/>
      <c r="C980" s="6"/>
      <c r="D980" s="9"/>
      <c r="E980" s="6"/>
      <c r="F980" s="6"/>
      <c r="G980" s="6"/>
      <c r="H980" s="6"/>
      <c r="I980" s="6"/>
    </row>
    <row r="981" ht="12.0" customHeight="1">
      <c r="A981" s="6"/>
      <c r="B981" s="6"/>
      <c r="C981" s="6"/>
      <c r="D981" s="9"/>
      <c r="E981" s="6"/>
      <c r="F981" s="6"/>
      <c r="G981" s="6"/>
      <c r="H981" s="6"/>
      <c r="I981" s="6"/>
    </row>
    <row r="982" ht="12.0" customHeight="1">
      <c r="A982" s="6"/>
      <c r="B982" s="6"/>
      <c r="C982" s="6"/>
      <c r="D982" s="9"/>
      <c r="E982" s="6"/>
      <c r="F982" s="6"/>
      <c r="G982" s="6"/>
      <c r="H982" s="6"/>
      <c r="I982" s="6"/>
    </row>
    <row r="983" ht="12.0" customHeight="1">
      <c r="A983" s="6"/>
      <c r="B983" s="6"/>
      <c r="C983" s="6"/>
      <c r="D983" s="9"/>
      <c r="E983" s="6"/>
      <c r="F983" s="6"/>
      <c r="G983" s="6"/>
      <c r="H983" s="6"/>
      <c r="I983" s="6"/>
    </row>
    <row r="984" ht="12.0" customHeight="1">
      <c r="A984" s="6"/>
      <c r="B984" s="6"/>
      <c r="C984" s="6"/>
      <c r="D984" s="9"/>
      <c r="E984" s="6"/>
      <c r="F984" s="6"/>
      <c r="G984" s="6"/>
      <c r="H984" s="6"/>
      <c r="I984" s="6"/>
    </row>
    <row r="985" ht="12.0" customHeight="1">
      <c r="A985" s="6"/>
      <c r="B985" s="6"/>
      <c r="C985" s="6"/>
      <c r="D985" s="9"/>
      <c r="E985" s="6"/>
      <c r="F985" s="6"/>
      <c r="G985" s="6"/>
      <c r="H985" s="6"/>
      <c r="I985" s="6"/>
    </row>
    <row r="986" ht="12.0" customHeight="1">
      <c r="A986" s="6"/>
      <c r="B986" s="6"/>
      <c r="C986" s="6"/>
      <c r="D986" s="9"/>
      <c r="E986" s="6"/>
      <c r="F986" s="6"/>
      <c r="G986" s="6"/>
      <c r="H986" s="6"/>
      <c r="I986" s="6"/>
    </row>
    <row r="987" ht="12.0" customHeight="1">
      <c r="A987" s="6"/>
      <c r="B987" s="6"/>
      <c r="C987" s="6"/>
      <c r="D987" s="9"/>
      <c r="E987" s="6"/>
      <c r="F987" s="6"/>
      <c r="G987" s="6"/>
      <c r="H987" s="6"/>
      <c r="I987" s="6"/>
    </row>
    <row r="988" ht="12.0" customHeight="1">
      <c r="A988" s="6"/>
      <c r="B988" s="6"/>
      <c r="C988" s="6"/>
      <c r="D988" s="9"/>
      <c r="E988" s="6"/>
      <c r="F988" s="6"/>
      <c r="G988" s="6"/>
      <c r="H988" s="6"/>
      <c r="I988" s="6"/>
    </row>
    <row r="989" ht="12.0" customHeight="1">
      <c r="A989" s="6"/>
      <c r="B989" s="6"/>
      <c r="C989" s="6"/>
      <c r="D989" s="9"/>
      <c r="E989" s="6"/>
      <c r="F989" s="6"/>
      <c r="G989" s="6"/>
      <c r="H989" s="6"/>
      <c r="I989" s="6"/>
    </row>
    <row r="990" ht="12.0" customHeight="1">
      <c r="A990" s="6"/>
      <c r="B990" s="6"/>
      <c r="C990" s="6"/>
      <c r="D990" s="9"/>
      <c r="E990" s="6"/>
      <c r="F990" s="6"/>
      <c r="G990" s="6"/>
      <c r="H990" s="6"/>
      <c r="I990" s="6"/>
    </row>
    <row r="991" ht="12.0" customHeight="1">
      <c r="A991" s="6"/>
      <c r="B991" s="6"/>
      <c r="C991" s="6"/>
      <c r="D991" s="9"/>
      <c r="E991" s="6"/>
      <c r="F991" s="6"/>
      <c r="G991" s="6"/>
      <c r="H991" s="6"/>
      <c r="I991" s="6"/>
    </row>
    <row r="992" ht="12.0" customHeight="1">
      <c r="A992" s="6"/>
      <c r="B992" s="6"/>
      <c r="C992" s="6"/>
      <c r="D992" s="9"/>
      <c r="E992" s="6"/>
      <c r="F992" s="6"/>
      <c r="G992" s="6"/>
      <c r="H992" s="6"/>
      <c r="I992" s="6"/>
    </row>
    <row r="993" ht="12.0" customHeight="1">
      <c r="A993" s="6"/>
      <c r="B993" s="6"/>
      <c r="C993" s="6"/>
      <c r="D993" s="9"/>
      <c r="E993" s="6"/>
      <c r="F993" s="6"/>
      <c r="G993" s="6"/>
      <c r="H993" s="6"/>
      <c r="I993" s="6"/>
    </row>
    <row r="994" ht="12.0" customHeight="1">
      <c r="A994" s="6"/>
      <c r="B994" s="6"/>
      <c r="C994" s="6"/>
      <c r="D994" s="9"/>
      <c r="E994" s="6"/>
      <c r="F994" s="6"/>
      <c r="G994" s="6"/>
      <c r="H994" s="6"/>
      <c r="I994" s="6"/>
    </row>
    <row r="995" ht="12.0" customHeight="1">
      <c r="A995" s="6"/>
      <c r="B995" s="6"/>
      <c r="C995" s="6"/>
      <c r="D995" s="9"/>
      <c r="E995" s="6"/>
      <c r="F995" s="6"/>
      <c r="G995" s="6"/>
      <c r="H995" s="6"/>
      <c r="I995" s="6"/>
    </row>
    <row r="996" ht="12.0" customHeight="1">
      <c r="A996" s="6"/>
      <c r="B996" s="6"/>
      <c r="C996" s="6"/>
      <c r="D996" s="9"/>
      <c r="E996" s="6"/>
      <c r="F996" s="6"/>
      <c r="G996" s="6"/>
      <c r="H996" s="6"/>
      <c r="I996" s="6"/>
    </row>
    <row r="997" ht="12.0" customHeight="1">
      <c r="A997" s="6"/>
      <c r="B997" s="6"/>
      <c r="C997" s="6"/>
      <c r="D997" s="9"/>
      <c r="E997" s="6"/>
      <c r="F997" s="6"/>
      <c r="G997" s="6"/>
      <c r="H997" s="6"/>
      <c r="I997" s="6"/>
    </row>
    <row r="998" ht="12.0" customHeight="1">
      <c r="A998" s="6"/>
      <c r="B998" s="6"/>
      <c r="C998" s="6"/>
      <c r="D998" s="9"/>
      <c r="E998" s="6"/>
      <c r="F998" s="6"/>
      <c r="G998" s="6"/>
      <c r="H998" s="6"/>
      <c r="I998" s="6"/>
    </row>
    <row r="999" ht="12.0" customHeight="1">
      <c r="A999" s="6"/>
      <c r="B999" s="6"/>
      <c r="C999" s="6"/>
      <c r="D999" s="9"/>
      <c r="E999" s="6"/>
      <c r="F999" s="6"/>
      <c r="G999" s="6"/>
      <c r="H999" s="6"/>
      <c r="I999" s="6"/>
    </row>
    <row r="1000" ht="12.0" customHeight="1">
      <c r="A1000" s="6"/>
      <c r="B1000" s="6"/>
      <c r="C1000" s="6"/>
      <c r="D1000" s="9"/>
      <c r="E1000" s="6"/>
      <c r="F1000" s="6"/>
      <c r="G1000" s="6"/>
      <c r="H1000" s="6"/>
      <c r="I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2014-10-31T23:27:28Z</dcterms:created>
  <dc:creator>Valerie</dc:creator>
</cp:coreProperties>
</file>